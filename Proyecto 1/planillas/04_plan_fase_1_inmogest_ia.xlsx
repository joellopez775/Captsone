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b080db8514c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c7610cff5abb45cf"/>
    <x:sheet xmlns:r="http://schemas.openxmlformats.org/officeDocument/2006/relationships" name="Gantt 18 semanas" sheetId="2" r:id="R93c448d7428b4d11"/>
    <x:sheet xmlns:r="http://schemas.openxmlformats.org/officeDocument/2006/relationships" name="Plan de Trabajo" sheetId="3" r:id="R9a7de46303124107"/>
    <x:sheet xmlns:r="http://schemas.openxmlformats.org/officeDocument/2006/relationships" name="Evidencias" sheetId="4" r:id="R4842c5000fa744d7"/>
    <x:sheet xmlns:r="http://schemas.openxmlformats.org/officeDocument/2006/relationships" name="RACI" sheetId="5" r:id="Re09581c6c0c546f4"/>
    <x:sheet xmlns:r="http://schemas.openxmlformats.org/officeDocument/2006/relationships" name="Riesgos" sheetId="6" r:id="R0ca423bdca7346a8"/>
    <x:sheet xmlns:r="http://schemas.openxmlformats.org/officeDocument/2006/relationships" name="Backlog" sheetId="7" r:id="R035df971c8c24765"/>
    <x:sheet xmlns:r="http://schemas.openxmlformats.org/officeDocument/2006/relationships" name="Validaciones" sheetId="8" r:id="Rcd24e1b5548a42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0"/>
      <x:color rgb="FF1F1F1F"/>
      <x:name val="Carlito"/>
    </x:font>
    <x:font>
      <x:i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9">
    <x:border/>
    <x:border>
      <x:left style="thin">
        <x:color rgb="FF17365D"/>
      </x:left>
      <x:right style="thin">
        <x:color rgb="FF17365D"/>
      </x:right>
      <x:top style="thin">
        <x:color rgb="FF17365D"/>
      </x:top>
    </x:border>
    <x:border>
      <x:left style="thin">
        <x:color rgb="FF17365D"/>
      </x:left>
      <x:right style="thin">
        <x:color rgb="FF17365D"/>
      </x:right>
    </x:border>
    <x:border>
      <x:left style="thin">
        <x:color rgb="FF17365D"/>
      </x:left>
      <x:right style="thin">
        <x:color rgb="FF17365D"/>
      </x:right>
      <x:bottom style="thin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top style="thin">
        <x:color rgb="FF17365D"/>
      </x:top>
      <x:bottom style="thin">
        <x:color rgb="FF17365D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/>
    <x:xf numFmtId="0" fontId="2" fillId="3" borderId="8" xfId="0" applyNumberFormat="1" applyFont="1" applyFill="1" applyBorder="1"/>
    <x:xf numFmtId="0" fontId="2" fillId="3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8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2" fillId="3" borderId="8" xfId="0" applyNumberFormat="1" applyFont="1" applyFill="1" applyBorder="1" applyAlignment="1">
      <x:alignment horizontal="center" vertical="center" wrapText="1"/>
    </x:xf>
    <x:xf numFmtId="0" fontId="3" fillId="0" borderId="9" xfId="0" applyNumberFormat="1" applyFont="1" applyFill="1" applyBorder="1"/>
    <x:xf numFmtId="0" fontId="3" fillId="0" borderId="10" xfId="0" applyNumberFormat="1" applyFont="1" applyFill="1" applyBorder="1"/>
    <x:xf numFmtId="0" fontId="3" fillId="0" borderId="11" xfId="0" applyNumberFormat="1" applyFont="1" applyFill="1" applyBorder="1"/>
    <x:xf numFmtId="0" fontId="3" fillId="0" borderId="12" xfId="0" applyNumberFormat="1" applyFont="1" applyFill="1" applyBorder="1"/>
    <x:xf numFmtId="0" fontId="3" fillId="0" borderId="13" xfId="0" applyNumberFormat="1" applyFont="1" applyFill="1" applyBorder="1"/>
    <x:xf numFmtId="0" fontId="3" fillId="0" borderId="14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10" xfId="0" applyNumberFormat="1" applyFont="1" applyFill="1" applyBorder="1" applyAlignment="1">
      <x:alignment wrapText="1"/>
    </x:xf>
    <x:xf numFmtId="0" fontId="3" fillId="0" borderId="11" xfId="0" applyNumberFormat="1" applyFont="1" applyFill="1" applyBorder="1" applyAlignment="1">
      <x:alignment wrapText="1"/>
    </x:xf>
    <x:xf numFmtId="0" fontId="3" fillId="0" borderId="12" xfId="0" applyNumberFormat="1" applyFont="1" applyFill="1" applyBorder="1" applyAlignment="1">
      <x:alignment wrapText="1"/>
    </x:xf>
    <x:xf numFmtId="0" fontId="3" fillId="0" borderId="13" xfId="0" applyNumberFormat="1" applyFont="1" applyFill="1" applyBorder="1" applyAlignment="1">
      <x:alignment wrapText="1"/>
    </x:xf>
    <x:xf numFmtId="0" fontId="3" fillId="0" borderId="14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0" fontId="3" fillId="0" borderId="12" xfId="0" applyNumberFormat="1" applyFont="1" applyFill="1" applyBorder="1" applyAlignment="1">
      <x:alignment vertical="center" wrapText="1"/>
    </x:xf>
    <x:xf numFmtId="0" fontId="3" fillId="0" borderId="13" xfId="0" applyNumberFormat="1" applyFont="1" applyFill="1" applyBorder="1" applyAlignment="1">
      <x:alignment vertical="center" wrapText="1"/>
    </x:xf>
    <x:xf numFmtId="0" fontId="3" fillId="0" borderId="14" xfId="0" applyNumberFormat="1" applyFont="1" applyFill="1" applyBorder="1" applyAlignment="1">
      <x:alignment vertical="center" wrapText="1"/>
    </x:xf>
    <x:xf numFmtId="200" fontId="3" fillId="0" borderId="1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/>
    <x:xf numFmtId="0" fontId="2" fillId="3" borderId="15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horizont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3" fillId="0" borderId="16" xfId="0" applyNumberFormat="1" applyFont="1" applyFill="1" applyBorder="1"/>
    <x:xf numFmtId="0" fontId="3" fillId="0" borderId="17" xfId="0" applyNumberFormat="1" applyFont="1" applyFill="1" applyBorder="1"/>
    <x:xf numFmtId="0" fontId="3" fillId="0" borderId="18" xfId="0" applyNumberFormat="1" applyFont="1" applyFill="1" applyBorder="1"/>
    <x:xf numFmtId="0" fontId="3" fillId="0" borderId="16" xfId="0" applyNumberFormat="1" applyFont="1" applyFill="1" applyBorder="1" applyAlignment="1">
      <x:alignment wrapText="1"/>
    </x:xf>
    <x:xf numFmtId="0" fontId="3" fillId="0" borderId="17" xfId="0" applyNumberFormat="1" applyFont="1" applyFill="1" applyBorder="1" applyAlignment="1">
      <x:alignment wrapText="1"/>
    </x:xf>
    <x:xf numFmtId="0" fontId="3" fillId="0" borderId="18" xfId="0" applyNumberFormat="1" applyFont="1" applyFill="1" applyBorder="1" applyAlignment="1">
      <x:alignment wrapText="1"/>
    </x:xf>
    <x:xf numFmtId="0" fontId="3" fillId="0" borderId="16" xfId="0" applyNumberFormat="1" applyFont="1" applyFill="1" applyBorder="1" applyAlignment="1">
      <x:alignment vertical="center" wrapText="1"/>
    </x:xf>
    <x:xf numFmtId="0" fontId="3" fillId="0" borderId="17" xfId="0" applyNumberFormat="1" applyFont="1" applyFill="1" applyBorder="1" applyAlignment="1">
      <x:alignment vertical="center" wrapText="1"/>
    </x:xf>
    <x:xf numFmtId="0" fontId="3" fillId="0" borderId="18" xfId="0" applyNumberFormat="1" applyFont="1" applyFill="1" applyBorder="1" applyAlignment="1">
      <x:alignment vertical="center" wrapText="1"/>
    </x:xf>
    <x:xf numFmtId="0" fontId="3" fillId="0" borderId="16" xfId="0" applyNumberFormat="1" applyFont="1" applyFill="1" applyBorder="1" applyAlignment="1">
      <x:alignment horizontal="center" vertical="center" wrapText="1"/>
    </x:xf>
    <x:xf numFmtId="0" fontId="3" fillId="0" borderId="10" xfId="0" applyNumberFormat="1" applyFont="1" applyFill="1" applyBorder="1" applyAlignment="1">
      <x:alignment horizontal="center" vertical="center" wrapText="1"/>
    </x:xf>
    <x:xf numFmtId="0" fontId="3" fillId="0" borderId="17" xfId="0" applyNumberFormat="1" applyFont="1" applyFill="1" applyBorder="1" applyAlignment="1">
      <x:alignment horizontal="center" vertical="center" wrapText="1"/>
    </x:xf>
    <x:xf numFmtId="0" fontId="3" fillId="0" borderId="12" xfId="0" applyNumberFormat="1" applyFont="1" applyFill="1" applyBorder="1" applyAlignment="1">
      <x:alignment horizontal="center" vertical="center" wrapText="1"/>
    </x:xf>
    <x:xf numFmtId="0" fontId="3" fillId="0" borderId="18" xfId="0" applyNumberFormat="1" applyFont="1" applyFill="1" applyBorder="1" applyAlignment="1">
      <x:alignment horizontal="center" vertical="center" wrapText="1"/>
    </x:xf>
    <x:xf numFmtId="0" fontId="3" fillId="0" borderId="1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9">
    <x:dxf>
      <x:font>
        <x:b/>
        <x:color rgb="FF17365D"/>
      </x:font>
      <x:fill>
        <x:patternFill patternType="solid">
          <x:bgColor rgb="FFD9EAD3"/>
        </x:patternFill>
      </x:fill>
    </x:dxf>
    <x:dxf>
      <x:font>
        <x:b/>
        <x:color rgb="FF17365D"/>
      </x:font>
      <x:fill>
        <x:patternFill patternType="solid">
          <x:bgColor rgb="FFFFF2CC"/>
        </x:patternFill>
      </x:fill>
    </x:dxf>
    <x:dxf>
      <x:font>
        <x:b/>
        <x:color rgb="FF17365D"/>
      </x:font>
      <x:fill>
        <x:patternFill patternType="solid">
          <x:bgColor rgb="FFFCE5CD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730b3732b14096" /><Relationship Type="http://schemas.openxmlformats.org/officeDocument/2006/relationships/theme" Target="/xl/theme/theme1.xml" Id="Ra9da3352ebce4574" /><Relationship Type="http://schemas.openxmlformats.org/officeDocument/2006/relationships/sharedStrings" Target="/xl/sharedStrings.xml" Id="R1acb6a91a9324547" /><Relationship Type="http://schemas.openxmlformats.org/officeDocument/2006/relationships/worksheet" Target="/xl/worksheets/sheet1.xml" Id="Rc7610cff5abb45cf" /><Relationship Type="http://schemas.openxmlformats.org/officeDocument/2006/relationships/worksheet" Target="/xl/worksheets/sheet2.xml" Id="R93c448d7428b4d11" /><Relationship Type="http://schemas.openxmlformats.org/officeDocument/2006/relationships/worksheet" Target="/xl/worksheets/sheet3.xml" Id="R9a7de46303124107" /><Relationship Type="http://schemas.openxmlformats.org/officeDocument/2006/relationships/worksheet" Target="/xl/worksheets/sheet4.xml" Id="R4842c5000fa744d7" /><Relationship Type="http://schemas.openxmlformats.org/officeDocument/2006/relationships/worksheet" Target="/xl/worksheets/sheet5.xml" Id="Re09581c6c0c546f4" /><Relationship Type="http://schemas.openxmlformats.org/officeDocument/2006/relationships/worksheet" Target="/xl/worksheets/sheet6.xml" Id="R0ca423bdca7346a8" /><Relationship Type="http://schemas.openxmlformats.org/officeDocument/2006/relationships/worksheet" Target="/xl/worksheets/sheet7.xml" Id="R035df971c8c24765" /><Relationship Type="http://schemas.openxmlformats.org/officeDocument/2006/relationships/worksheet" Target="/xl/worksheets/sheet8.xml" Id="Rcd24e1b5548a427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323813ed30482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Estado del plan de trabajo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'Resumen'!$D$12:$D$15</c:f>
              <c:strCache>
                <c:ptCount val="0"/>
              </c:strCache>
            </c:strRef>
          </c:cat>
          <c:val>
            <c:numRef>
              <c:f>'Resumen'!$E$12:$E$15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323813ed30482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fa7787c9fda4ee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8" hidden="0" customWidth="1"/>
    <x:col min="3" max="3" width="3" hidden="0" customWidth="1"/>
    <x:col min="4" max="4" width="25" hidden="0" customWidth="1"/>
    <x:col min="5" max="5" width="14" hidden="0" customWidth="1"/>
  </x:cols>
  <x:sheetData>
    <x:row r="1" ht="30" customHeight="1">
      <x:c r="A1" s="4" t="str">
        <x:v>InmoGest IA | Control de Fase 1</x:v>
      </x:c>
    </x:row>
    <x:row r="2" ht="30" customHeight="1"/>
    <x:row r="4">
      <x:c r="A4" s="16" t="str">
        <x:v>Proyecto</x:v>
      </x:c>
      <x:c r="B4" s="26" t="str">
        <x:v>InmoGest IA</x:v>
      </x:c>
      <x:c r="D4" s="35" t="str">
        <x:v>Indicador</x:v>
      </x:c>
      <x:c r="E4" s="36" t="str">
        <x:v>Resultado</x:v>
      </x:c>
    </x:row>
    <x:row r="5">
      <x:c r="A5" s="17" t="str">
        <x:v>Carrera</x:v>
      </x:c>
      <x:c r="B5" s="27" t="str">
        <x:v>Ingeniería en Informática</x:v>
      </x:c>
      <x:c r="D5" s="49" t="str">
        <x:v>Actividades</x:v>
      </x:c>
      <x:c r="E5" s="50" t="n">
        <x:f>COUNTA('Plan de Trabajo'!A5:A24)</x:f>
        <x:v>10</x:v>
      </x:c>
    </x:row>
    <x:row r="6">
      <x:c r="A6" s="17" t="str">
        <x:v>Sede</x:v>
      </x:c>
      <x:c r="B6" s="27" t="str">
        <x:v>Plaza Vespucio</x:v>
      </x:c>
      <x:c r="D6" s="51" t="str">
        <x:v>Completadas</x:v>
      </x:c>
      <x:c r="E6" s="52" t="n">
        <x:f>COUNTIF('Plan de Trabajo'!H5:H24,"Completado")</x:f>
        <x:v>0</x:v>
      </x:c>
    </x:row>
    <x:row r="7">
      <x:c r="A7" s="17" t="str">
        <x:v>Cohorte</x:v>
      </x:c>
      <x:c r="B7" s="27" t="n">
        <x:v>2023</x:v>
      </x:c>
      <x:c r="D7" s="51" t="str">
        <x:v>Avance plan</x:v>
      </x:c>
      <x:c r="E7" s="55" t="n">
        <x:f>IFERROR(E6/E5,0)</x:f>
        <x:v>0</x:v>
      </x:c>
    </x:row>
    <x:row r="8">
      <x:c r="A8" s="17" t="str">
        <x:v>Equipo</x:v>
      </x:c>
      <x:c r="B8" s="27" t="str">
        <x:v>Joel López · Agustín Sorolla · Matías Martínez</x:v>
      </x:c>
      <x:c r="D8" s="51" t="str">
        <x:v>Riesgos altos</x:v>
      </x:c>
      <x:c r="E8" s="52" t="n">
        <x:f>COUNTIF('Riesgos'!H5:H14,"Alto")</x:f>
        <x:v>5</x:v>
      </x:c>
    </x:row>
    <x:row r="9">
      <x:c r="A9" s="17" t="str">
        <x:v>Organización</x:v>
      </x:c>
      <x:c r="B9" s="27" t="str">
        <x:v>Corredora Metropolitana SpA (caso simulado)</x:v>
      </x:c>
      <x:c r="D9" s="53" t="str">
        <x:v>Evidencias aprobadas</x:v>
      </x:c>
      <x:c r="E9" s="54" t="n">
        <x:f>COUNTIF('Evidencias'!G5:G16,"Aprobada")</x:f>
        <x:v>0</x:v>
      </x:c>
    </x:row>
    <x:row r="10">
      <x:c r="A10" s="18" t="str">
        <x:v>Territorio piloto</x:v>
      </x:c>
      <x:c r="B10" s="28" t="str">
        <x:v>La Florida, Macul, Peñalolén y Puente Alto</x:v>
      </x:c>
    </x:row>
    <x:row r="11">
      <x:c r="D11" s="35" t="str">
        <x:v>Estado</x:v>
      </x:c>
      <x:c r="E11" s="36" t="str">
        <x:v>Cantidad</x:v>
      </x:c>
    </x:row>
    <x:row r="12">
      <x:c r="D12" s="49" t="str">
        <x:v>Pendiente</x:v>
      </x:c>
      <x:c r="E12" s="50" t="n">
        <x:f>COUNTIF('Plan de Trabajo'!H5:H24,D12)</x:f>
        <x:v>9</x:v>
      </x:c>
    </x:row>
    <x:row r="13">
      <x:c r="D13" s="51" t="str">
        <x:v>En curso</x:v>
      </x:c>
      <x:c r="E13" s="52" t="n">
        <x:f>COUNTIF('Plan de Trabajo'!H5:H24,D13)</x:f>
        <x:v>1</x:v>
      </x:c>
    </x:row>
    <x:row r="14">
      <x:c r="D14" s="51" t="str">
        <x:v>Bloqueado</x:v>
      </x:c>
      <x:c r="E14" s="52" t="n">
        <x:f>COUNTIF('Plan de Trabajo'!H5:H24,D14)</x:f>
        <x:v>0</x:v>
      </x:c>
    </x:row>
    <x:row r="15">
      <x:c r="D15" s="53" t="str">
        <x:v>Completado</x:v>
      </x:c>
      <x:c r="E15" s="54" t="n">
        <x:f>COUNTIF('Plan de Trabajo'!H5:H24,D15)</x:f>
        <x:v>0</x:v>
      </x:c>
    </x:row>
    <x:row r="32">
      <x:c r="A32" s="59" t="str">
        <x:v>Uso: actualizar Estado, aprobaciones y riesgos. Las métricas y el gráfico se recalculan desde las hojas de detalle. Los datos personales y reflexiones individuales permanecen pendientes hasta que cada estudiante los complete.</x:v>
      </x:c>
      <x:c r="B32" s="59"/>
      <x:c r="C32" s="59"/>
      <x:c r="D32" s="59"/>
      <x:c r="E32" s="59"/>
      <x:c r="F32" s="59"/>
      <x:c r="G32" s="59"/>
      <x:c r="H32" s="59"/>
    </x:row>
    <x:row r="33">
      <x:c r="A33" s="59"/>
      <x:c r="B33" s="59"/>
      <x:c r="C33" s="59"/>
      <x:c r="D33" s="59"/>
      <x:c r="E33" s="59"/>
      <x:c r="F33" s="59"/>
      <x:c r="G33" s="59"/>
      <x:c r="H33" s="59"/>
    </x:row>
    <x:row r="34">
      <x:c r="A34" s="59"/>
      <x:c r="B34" s="59"/>
      <x:c r="C34" s="59"/>
      <x:c r="D34" s="59"/>
      <x:c r="E34" s="59"/>
      <x:c r="F34" s="59"/>
      <x:c r="G34" s="59"/>
      <x:c r="H34" s="59"/>
    </x:row>
    <x:row r="35">
      <x:c r="A35" s="59"/>
      <x:c r="B35" s="59"/>
      <x:c r="C35" s="59"/>
      <x:c r="D35" s="59"/>
      <x:c r="E35" s="59"/>
      <x:c r="F35" s="59"/>
      <x:c r="G35" s="59"/>
      <x:c r="H35" s="59"/>
    </x:row>
  </x:sheetData>
  <x:mergeCells>
    <x:mergeCell ref="A1:H2"/>
    <x:mergeCell ref="A32:H35"/>
  </x:mergeCells>
  <x:pageMargins left="0.7" right="0.7" top="0.75" bottom="0.75" header="0.3" footer="0.3"/>
  <x:drawing xmlns:r="http://schemas.openxmlformats.org/officeDocument/2006/relationships" r:id="R1fa7787c9fda4ee9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42" hidden="0" customWidth="1"/>
    <x:col min="4" max="4" width="8" hidden="0" customWidth="1"/>
    <x:col min="5" max="5" width="8" hidden="0" customWidth="1"/>
    <x:col min="6" max="6" width="17" hidden="0" customWidth="1"/>
    <x:col min="7" max="7" width="5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</x:cols>
  <x:sheetData>
    <x:row r="1" ht="30" customHeight="1">
      <x:c r="A1" s="4" t="str">
        <x:v>Carta Gantt | InmoGest IA | Semestre 2026-2</x:v>
      </x:c>
    </x:row>
    <x:row r="2" ht="30" customHeight="1"/>
    <x:row r="4" ht="34" customHeight="1">
      <x:c r="A4" s="35" t="str">
        <x:v>ID</x:v>
      </x:c>
      <x:c r="B4" s="63" t="str">
        <x:v>Fase</x:v>
      </x:c>
      <x:c r="C4" s="63" t="str">
        <x:v>Actividad</x:v>
      </x:c>
      <x:c r="D4" s="63" t="str">
        <x:v>Inicio</x:v>
      </x:c>
      <x:c r="E4" s="63" t="str">
        <x:v>Fin</x:v>
      </x:c>
      <x:c r="F4" s="63" t="str">
        <x:v>Responsable</x:v>
      </x:c>
      <x:c r="G4" s="63" t="str">
        <x:v>S1</x:v>
      </x:c>
      <x:c r="H4" s="63" t="str">
        <x:v>S2</x:v>
      </x:c>
      <x:c r="I4" s="63" t="str">
        <x:v>S3</x:v>
      </x:c>
      <x:c r="J4" s="63" t="str">
        <x:v>S4</x:v>
      </x:c>
      <x:c r="K4" s="63" t="str">
        <x:v>S5</x:v>
      </x:c>
      <x:c r="L4" s="63" t="str">
        <x:v>S6</x:v>
      </x:c>
      <x:c r="M4" s="63" t="str">
        <x:v>S7</x:v>
      </x:c>
      <x:c r="N4" s="63" t="str">
        <x:v>S8</x:v>
      </x:c>
      <x:c r="O4" s="63" t="str">
        <x:v>S9</x:v>
      </x:c>
      <x:c r="P4" s="63" t="str">
        <x:v>S10</x:v>
      </x:c>
      <x:c r="Q4" s="63" t="str">
        <x:v>S11</x:v>
      </x:c>
      <x:c r="R4" s="63" t="str">
        <x:v>S12</x:v>
      </x:c>
      <x:c r="S4" s="63" t="str">
        <x:v>S13</x:v>
      </x:c>
      <x:c r="T4" s="63" t="str">
        <x:v>S14</x:v>
      </x:c>
      <x:c r="U4" s="63" t="str">
        <x:v>S15</x:v>
      </x:c>
      <x:c r="V4" s="63" t="str">
        <x:v>S16</x:v>
      </x:c>
      <x:c r="W4" s="63" t="str">
        <x:v>S17</x:v>
      </x:c>
      <x:c r="X4" s="36" t="str">
        <x:v>S18</x:v>
      </x:c>
    </x:row>
    <x:row r="5">
      <x:c r="A5" s="49" t="str">
        <x:v>T01</x:v>
      </x:c>
      <x:c r="B5" s="70" t="str">
        <x:v>Fase 1</x:v>
      </x:c>
      <x:c r="C5" s="70" t="str">
        <x:v>Definición, competencias y problema</x:v>
      </x:c>
      <x:c r="D5" s="70" t="n">
        <x:v>1</x:v>
      </x:c>
      <x:c r="E5" s="70" t="n">
        <x:v>2</x:v>
      </x:c>
      <x:c r="F5" s="70" t="str">
        <x:v>Equipo</x:v>
      </x:c>
      <x:c r="G5" s="73" t="str">
        <x:f>IF(AND(1&gt;=$D5,1&lt;=$E5),"X","")</x:f>
        <x:v>X</x:v>
      </x:c>
      <x:c r="H5" s="73" t="str">
        <x:f>IF(AND(2&gt;=$D5,2&lt;=$E5),"X","")</x:f>
        <x:v>X</x:v>
      </x:c>
      <x:c r="I5" s="73" t="str">
        <x:f>IF(AND(3&gt;=$D5,3&lt;=$E5),"X","")</x:f>
      </x:c>
      <x:c r="J5" s="73" t="str">
        <x:f>IF(AND(4&gt;=$D5,4&lt;=$E5),"X","")</x:f>
      </x:c>
      <x:c r="K5" s="73" t="str">
        <x:f>IF(AND(5&gt;=$D5,5&lt;=$E5),"X","")</x:f>
      </x:c>
      <x:c r="L5" s="73" t="str">
        <x:f>IF(AND(6&gt;=$D5,6&lt;=$E5),"X","")</x:f>
      </x:c>
      <x:c r="M5" s="73" t="str">
        <x:f>IF(AND(7&gt;=$D5,7&lt;=$E5),"X","")</x:f>
      </x:c>
      <x:c r="N5" s="73" t="str">
        <x:f>IF(AND(8&gt;=$D5,8&lt;=$E5),"X","")</x:f>
      </x:c>
      <x:c r="O5" s="73" t="str">
        <x:f>IF(AND(9&gt;=$D5,9&lt;=$E5),"X","")</x:f>
      </x:c>
      <x:c r="P5" s="73" t="str">
        <x:f>IF(AND(10&gt;=$D5,10&lt;=$E5),"X","")</x:f>
      </x:c>
      <x:c r="Q5" s="73" t="str">
        <x:f>IF(AND(11&gt;=$D5,11&lt;=$E5),"X","")</x:f>
      </x:c>
      <x:c r="R5" s="73" t="str">
        <x:f>IF(AND(12&gt;=$D5,12&lt;=$E5),"X","")</x:f>
      </x:c>
      <x:c r="S5" s="73" t="str">
        <x:f>IF(AND(13&gt;=$D5,13&lt;=$E5),"X","")</x:f>
      </x:c>
      <x:c r="T5" s="73" t="str">
        <x:f>IF(AND(14&gt;=$D5,14&lt;=$E5),"X","")</x:f>
      </x:c>
      <x:c r="U5" s="73" t="str">
        <x:f>IF(AND(15&gt;=$D5,15&lt;=$E5),"X","")</x:f>
      </x:c>
      <x:c r="V5" s="73" t="str">
        <x:f>IF(AND(16&gt;=$D5,16&lt;=$E5),"X","")</x:f>
      </x:c>
      <x:c r="W5" s="73" t="str">
        <x:f>IF(AND(17&gt;=$D5,17&lt;=$E5),"X","")</x:f>
      </x:c>
      <x:c r="X5" s="74" t="str">
        <x:f>IF(AND(18&gt;=$D5,18&lt;=$E5),"X","")</x:f>
      </x:c>
    </x:row>
    <x:row r="6">
      <x:c r="A6" s="51" t="str">
        <x:v>T02</x:v>
      </x:c>
      <x:c r="B6" s="71" t="str">
        <x:v>Fase 1</x:v>
      </x:c>
      <x:c r="C6" s="71" t="str">
        <x:v>Actores, alcance, objetivos y factibilidad</x:v>
      </x:c>
      <x:c r="D6" s="71" t="n">
        <x:v>1</x:v>
      </x:c>
      <x:c r="E6" s="71" t="n">
        <x:v>3</x:v>
      </x:c>
      <x:c r="F6" s="71" t="str">
        <x:v>Joel</x:v>
      </x:c>
      <x:c r="G6" s="75" t="str">
        <x:f>IF(AND(1&gt;=$D6,1&lt;=$E6),"X","")</x:f>
        <x:v>X</x:v>
      </x:c>
      <x:c r="H6" s="75" t="str">
        <x:f>IF(AND(2&gt;=$D6,2&lt;=$E6),"X","")</x:f>
        <x:v>X</x:v>
      </x:c>
      <x:c r="I6" s="75" t="str">
        <x:f>IF(AND(3&gt;=$D6,3&lt;=$E6),"X","")</x:f>
        <x:v>X</x:v>
      </x:c>
      <x:c r="J6" s="75" t="str">
        <x:f>IF(AND(4&gt;=$D6,4&lt;=$E6),"X","")</x:f>
      </x:c>
      <x:c r="K6" s="75" t="str">
        <x:f>IF(AND(5&gt;=$D6,5&lt;=$E6),"X","")</x:f>
      </x:c>
      <x:c r="L6" s="75" t="str">
        <x:f>IF(AND(6&gt;=$D6,6&lt;=$E6),"X","")</x:f>
      </x:c>
      <x:c r="M6" s="75" t="str">
        <x:f>IF(AND(7&gt;=$D6,7&lt;=$E6),"X","")</x:f>
      </x:c>
      <x:c r="N6" s="75" t="str">
        <x:f>IF(AND(8&gt;=$D6,8&lt;=$E6),"X","")</x:f>
      </x:c>
      <x:c r="O6" s="75" t="str">
        <x:f>IF(AND(9&gt;=$D6,9&lt;=$E6),"X","")</x:f>
      </x:c>
      <x:c r="P6" s="75" t="str">
        <x:f>IF(AND(10&gt;=$D6,10&lt;=$E6),"X","")</x:f>
      </x:c>
      <x:c r="Q6" s="75" t="str">
        <x:f>IF(AND(11&gt;=$D6,11&lt;=$E6),"X","")</x:f>
      </x:c>
      <x:c r="R6" s="75" t="str">
        <x:f>IF(AND(12&gt;=$D6,12&lt;=$E6),"X","")</x:f>
      </x:c>
      <x:c r="S6" s="75" t="str">
        <x:f>IF(AND(13&gt;=$D6,13&lt;=$E6),"X","")</x:f>
      </x:c>
      <x:c r="T6" s="75" t="str">
        <x:f>IF(AND(14&gt;=$D6,14&lt;=$E6),"X","")</x:f>
      </x:c>
      <x:c r="U6" s="75" t="str">
        <x:f>IF(AND(15&gt;=$D6,15&lt;=$E6),"X","")</x:f>
      </x:c>
      <x:c r="V6" s="75" t="str">
        <x:f>IF(AND(16&gt;=$D6,16&lt;=$E6),"X","")</x:f>
      </x:c>
      <x:c r="W6" s="75" t="str">
        <x:f>IF(AND(17&gt;=$D6,17&lt;=$E6),"X","")</x:f>
      </x:c>
      <x:c r="X6" s="76" t="str">
        <x:f>IF(AND(18&gt;=$D6,18&lt;=$E6),"X","")</x:f>
      </x:c>
    </x:row>
    <x:row r="7">
      <x:c r="A7" s="51" t="str">
        <x:v>T03</x:v>
      </x:c>
      <x:c r="B7" s="71" t="str">
        <x:v>Fase 1</x:v>
      </x:c>
      <x:c r="C7" s="71" t="str">
        <x:v>Arquitectura, datos, prototipo y backlog</x:v>
      </x:c>
      <x:c r="D7" s="71" t="n">
        <x:v>2</x:v>
      </x:c>
      <x:c r="E7" s="71" t="n">
        <x:v>4</x:v>
      </x:c>
      <x:c r="F7" s="71" t="str">
        <x:v>Equipo</x:v>
      </x:c>
      <x:c r="G7" s="75" t="str">
        <x:f>IF(AND(1&gt;=$D7,1&lt;=$E7),"X","")</x:f>
      </x:c>
      <x:c r="H7" s="75" t="str">
        <x:f>IF(AND(2&gt;=$D7,2&lt;=$E7),"X","")</x:f>
        <x:v>X</x:v>
      </x:c>
      <x:c r="I7" s="75" t="str">
        <x:f>IF(AND(3&gt;=$D7,3&lt;=$E7),"X","")</x:f>
        <x:v>X</x:v>
      </x:c>
      <x:c r="J7" s="75" t="str">
        <x:f>IF(AND(4&gt;=$D7,4&lt;=$E7),"X","")</x:f>
        <x:v>X</x:v>
      </x:c>
      <x:c r="K7" s="75" t="str">
        <x:f>IF(AND(5&gt;=$D7,5&lt;=$E7),"X","")</x:f>
      </x:c>
      <x:c r="L7" s="75" t="str">
        <x:f>IF(AND(6&gt;=$D7,6&lt;=$E7),"X","")</x:f>
      </x:c>
      <x:c r="M7" s="75" t="str">
        <x:f>IF(AND(7&gt;=$D7,7&lt;=$E7),"X","")</x:f>
      </x:c>
      <x:c r="N7" s="75" t="str">
        <x:f>IF(AND(8&gt;=$D7,8&lt;=$E7),"X","")</x:f>
      </x:c>
      <x:c r="O7" s="75" t="str">
        <x:f>IF(AND(9&gt;=$D7,9&lt;=$E7),"X","")</x:f>
      </x:c>
      <x:c r="P7" s="75" t="str">
        <x:f>IF(AND(10&gt;=$D7,10&lt;=$E7),"X","")</x:f>
      </x:c>
      <x:c r="Q7" s="75" t="str">
        <x:f>IF(AND(11&gt;=$D7,11&lt;=$E7),"X","")</x:f>
      </x:c>
      <x:c r="R7" s="75" t="str">
        <x:f>IF(AND(12&gt;=$D7,12&lt;=$E7),"X","")</x:f>
      </x:c>
      <x:c r="S7" s="75" t="str">
        <x:f>IF(AND(13&gt;=$D7,13&lt;=$E7),"X","")</x:f>
      </x:c>
      <x:c r="T7" s="75" t="str">
        <x:f>IF(AND(14&gt;=$D7,14&lt;=$E7),"X","")</x:f>
      </x:c>
      <x:c r="U7" s="75" t="str">
        <x:f>IF(AND(15&gt;=$D7,15&lt;=$E7),"X","")</x:f>
      </x:c>
      <x:c r="V7" s="75" t="str">
        <x:f>IF(AND(16&gt;=$D7,16&lt;=$E7),"X","")</x:f>
      </x:c>
      <x:c r="W7" s="75" t="str">
        <x:f>IF(AND(17&gt;=$D7,17&lt;=$E7),"X","")</x:f>
      </x:c>
      <x:c r="X7" s="76" t="str">
        <x:f>IF(AND(18&gt;=$D7,18&lt;=$E7),"X","")</x:f>
      </x:c>
    </x:row>
    <x:row r="8">
      <x:c r="A8" s="51" t="str">
        <x:v>T04</x:v>
      </x:c>
      <x:c r="B8" s="71" t="str">
        <x:v>Fase 1</x:v>
      </x:c>
      <x:c r="C8" s="71" t="str">
        <x:v>Informe y presentación de definición</x:v>
      </x:c>
      <x:c r="D8" s="71" t="n">
        <x:v>3</x:v>
      </x:c>
      <x:c r="E8" s="71" t="n">
        <x:v>4</x:v>
      </x:c>
      <x:c r="F8" s="71" t="str">
        <x:v>Equipo</x:v>
      </x:c>
      <x:c r="G8" s="75" t="str">
        <x:f>IF(AND(1&gt;=$D8,1&lt;=$E8),"X","")</x:f>
      </x:c>
      <x:c r="H8" s="75" t="str">
        <x:f>IF(AND(2&gt;=$D8,2&lt;=$E8),"X","")</x:f>
      </x:c>
      <x:c r="I8" s="75" t="str">
        <x:f>IF(AND(3&gt;=$D8,3&lt;=$E8),"X","")</x:f>
        <x:v>X</x:v>
      </x:c>
      <x:c r="J8" s="75" t="str">
        <x:f>IF(AND(4&gt;=$D8,4&lt;=$E8),"X","")</x:f>
        <x:v>X</x:v>
      </x:c>
      <x:c r="K8" s="75" t="str">
        <x:f>IF(AND(5&gt;=$D8,5&lt;=$E8),"X","")</x:f>
      </x:c>
      <x:c r="L8" s="75" t="str">
        <x:f>IF(AND(6&gt;=$D8,6&lt;=$E8),"X","")</x:f>
      </x:c>
      <x:c r="M8" s="75" t="str">
        <x:f>IF(AND(7&gt;=$D8,7&lt;=$E8),"X","")</x:f>
      </x:c>
      <x:c r="N8" s="75" t="str">
        <x:f>IF(AND(8&gt;=$D8,8&lt;=$E8),"X","")</x:f>
      </x:c>
      <x:c r="O8" s="75" t="str">
        <x:f>IF(AND(9&gt;=$D8,9&lt;=$E8),"X","")</x:f>
      </x:c>
      <x:c r="P8" s="75" t="str">
        <x:f>IF(AND(10&gt;=$D8,10&lt;=$E8),"X","")</x:f>
      </x:c>
      <x:c r="Q8" s="75" t="str">
        <x:f>IF(AND(11&gt;=$D8,11&lt;=$E8),"X","")</x:f>
      </x:c>
      <x:c r="R8" s="75" t="str">
        <x:f>IF(AND(12&gt;=$D8,12&lt;=$E8),"X","")</x:f>
      </x:c>
      <x:c r="S8" s="75" t="str">
        <x:f>IF(AND(13&gt;=$D8,13&lt;=$E8),"X","")</x:f>
      </x:c>
      <x:c r="T8" s="75" t="str">
        <x:f>IF(AND(14&gt;=$D8,14&lt;=$E8),"X","")</x:f>
      </x:c>
      <x:c r="U8" s="75" t="str">
        <x:f>IF(AND(15&gt;=$D8,15&lt;=$E8),"X","")</x:f>
      </x:c>
      <x:c r="V8" s="75" t="str">
        <x:f>IF(AND(16&gt;=$D8,16&lt;=$E8),"X","")</x:f>
      </x:c>
      <x:c r="W8" s="75" t="str">
        <x:f>IF(AND(17&gt;=$D8,17&lt;=$E8),"X","")</x:f>
      </x:c>
      <x:c r="X8" s="76" t="str">
        <x:f>IF(AND(18&gt;=$D8,18&lt;=$E8),"X","")</x:f>
      </x:c>
    </x:row>
    <x:row r="9">
      <x:c r="A9" s="51" t="str">
        <x:v>T05</x:v>
      </x:c>
      <x:c r="B9" s="71" t="str">
        <x:v>Fase 2</x:v>
      </x:c>
      <x:c r="C9" s="71" t="str">
        <x:v>Base técnica, autenticación, roles y CI</x:v>
      </x:c>
      <x:c r="D9" s="71" t="n">
        <x:v>5</x:v>
      </x:c>
      <x:c r="E9" s="71" t="n">
        <x:v>6</x:v>
      </x:c>
      <x:c r="F9" s="71" t="str">
        <x:v>Joel/Matías</x:v>
      </x:c>
      <x:c r="G9" s="75" t="str">
        <x:f>IF(AND(1&gt;=$D9,1&lt;=$E9),"X","")</x:f>
      </x:c>
      <x:c r="H9" s="75" t="str">
        <x:f>IF(AND(2&gt;=$D9,2&lt;=$E9),"X","")</x:f>
      </x:c>
      <x:c r="I9" s="75" t="str">
        <x:f>IF(AND(3&gt;=$D9,3&lt;=$E9),"X","")</x:f>
      </x:c>
      <x:c r="J9" s="75" t="str">
        <x:f>IF(AND(4&gt;=$D9,4&lt;=$E9),"X","")</x:f>
      </x:c>
      <x:c r="K9" s="75" t="str">
        <x:f>IF(AND(5&gt;=$D9,5&lt;=$E9),"X","")</x:f>
        <x:v>X</x:v>
      </x:c>
      <x:c r="L9" s="75" t="str">
        <x:f>IF(AND(6&gt;=$D9,6&lt;=$E9),"X","")</x:f>
        <x:v>X</x:v>
      </x:c>
      <x:c r="M9" s="75" t="str">
        <x:f>IF(AND(7&gt;=$D9,7&lt;=$E9),"X","")</x:f>
      </x:c>
      <x:c r="N9" s="75" t="str">
        <x:f>IF(AND(8&gt;=$D9,8&lt;=$E9),"X","")</x:f>
      </x:c>
      <x:c r="O9" s="75" t="str">
        <x:f>IF(AND(9&gt;=$D9,9&lt;=$E9),"X","")</x:f>
      </x:c>
      <x:c r="P9" s="75" t="str">
        <x:f>IF(AND(10&gt;=$D9,10&lt;=$E9),"X","")</x:f>
      </x:c>
      <x:c r="Q9" s="75" t="str">
        <x:f>IF(AND(11&gt;=$D9,11&lt;=$E9),"X","")</x:f>
      </x:c>
      <x:c r="R9" s="75" t="str">
        <x:f>IF(AND(12&gt;=$D9,12&lt;=$E9),"X","")</x:f>
      </x:c>
      <x:c r="S9" s="75" t="str">
        <x:f>IF(AND(13&gt;=$D9,13&lt;=$E9),"X","")</x:f>
      </x:c>
      <x:c r="T9" s="75" t="str">
        <x:f>IF(AND(14&gt;=$D9,14&lt;=$E9),"X","")</x:f>
      </x:c>
      <x:c r="U9" s="75" t="str">
        <x:f>IF(AND(15&gt;=$D9,15&lt;=$E9),"X","")</x:f>
      </x:c>
      <x:c r="V9" s="75" t="str">
        <x:f>IF(AND(16&gt;=$D9,16&lt;=$E9),"X","")</x:f>
      </x:c>
      <x:c r="W9" s="75" t="str">
        <x:f>IF(AND(17&gt;=$D9,17&lt;=$E9),"X","")</x:f>
      </x:c>
      <x:c r="X9" s="76" t="str">
        <x:f>IF(AND(18&gt;=$D9,18&lt;=$E9),"X","")</x:f>
      </x:c>
    </x:row>
    <x:row r="10">
      <x:c r="A10" s="51" t="str">
        <x:v>T06</x:v>
      </x:c>
      <x:c r="B10" s="71" t="str">
        <x:v>Fase 2</x:v>
      </x:c>
      <x:c r="C10" s="71" t="str">
        <x:v>Propiedades, imágenes y publicación</x:v>
      </x:c>
      <x:c r="D10" s="71" t="n">
        <x:v>7</x:v>
      </x:c>
      <x:c r="E10" s="71" t="n">
        <x:v>8</x:v>
      </x:c>
      <x:c r="F10" s="71" t="str">
        <x:v>Matías</x:v>
      </x:c>
      <x:c r="G10" s="75" t="str">
        <x:f>IF(AND(1&gt;=$D10,1&lt;=$E10),"X","")</x:f>
      </x:c>
      <x:c r="H10" s="75" t="str">
        <x:f>IF(AND(2&gt;=$D10,2&lt;=$E10),"X","")</x:f>
      </x:c>
      <x:c r="I10" s="75" t="str">
        <x:f>IF(AND(3&gt;=$D10,3&lt;=$E10),"X","")</x:f>
      </x:c>
      <x:c r="J10" s="75" t="str">
        <x:f>IF(AND(4&gt;=$D10,4&lt;=$E10),"X","")</x:f>
      </x:c>
      <x:c r="K10" s="75" t="str">
        <x:f>IF(AND(5&gt;=$D10,5&lt;=$E10),"X","")</x:f>
      </x:c>
      <x:c r="L10" s="75" t="str">
        <x:f>IF(AND(6&gt;=$D10,6&lt;=$E10),"X","")</x:f>
      </x:c>
      <x:c r="M10" s="75" t="str">
        <x:f>IF(AND(7&gt;=$D10,7&lt;=$E10),"X","")</x:f>
        <x:v>X</x:v>
      </x:c>
      <x:c r="N10" s="75" t="str">
        <x:f>IF(AND(8&gt;=$D10,8&lt;=$E10),"X","")</x:f>
        <x:v>X</x:v>
      </x:c>
      <x:c r="O10" s="75" t="str">
        <x:f>IF(AND(9&gt;=$D10,9&lt;=$E10),"X","")</x:f>
      </x:c>
      <x:c r="P10" s="75" t="str">
        <x:f>IF(AND(10&gt;=$D10,10&lt;=$E10),"X","")</x:f>
      </x:c>
      <x:c r="Q10" s="75" t="str">
        <x:f>IF(AND(11&gt;=$D10,11&lt;=$E10),"X","")</x:f>
      </x:c>
      <x:c r="R10" s="75" t="str">
        <x:f>IF(AND(12&gt;=$D10,12&lt;=$E10),"X","")</x:f>
      </x:c>
      <x:c r="S10" s="75" t="str">
        <x:f>IF(AND(13&gt;=$D10,13&lt;=$E10),"X","")</x:f>
      </x:c>
      <x:c r="T10" s="75" t="str">
        <x:f>IF(AND(14&gt;=$D10,14&lt;=$E10),"X","")</x:f>
      </x:c>
      <x:c r="U10" s="75" t="str">
        <x:f>IF(AND(15&gt;=$D10,15&lt;=$E10),"X","")</x:f>
      </x:c>
      <x:c r="V10" s="75" t="str">
        <x:f>IF(AND(16&gt;=$D10,16&lt;=$E10),"X","")</x:f>
      </x:c>
      <x:c r="W10" s="75" t="str">
        <x:f>IF(AND(17&gt;=$D10,17&lt;=$E10),"X","")</x:f>
      </x:c>
      <x:c r="X10" s="76" t="str">
        <x:f>IF(AND(18&gt;=$D10,18&lt;=$E10),"X","")</x:f>
      </x:c>
    </x:row>
    <x:row r="11">
      <x:c r="A11" s="51" t="str">
        <x:v>T07</x:v>
      </x:c>
      <x:c r="B11" s="71" t="str">
        <x:v>Fase 2</x:v>
      </x:c>
      <x:c r="C11" s="71" t="str">
        <x:v>CRM, vitrina y captura de consultas</x:v>
      </x:c>
      <x:c r="D11" s="71" t="n">
        <x:v>9</x:v>
      </x:c>
      <x:c r="E11" s="71" t="n">
        <x:v>10</x:v>
      </x:c>
      <x:c r="F11" s="71" t="str">
        <x:v>Agustín</x:v>
      </x:c>
      <x:c r="G11" s="75" t="str">
        <x:f>IF(AND(1&gt;=$D11,1&lt;=$E11),"X","")</x:f>
      </x:c>
      <x:c r="H11" s="75" t="str">
        <x:f>IF(AND(2&gt;=$D11,2&lt;=$E11),"X","")</x:f>
      </x:c>
      <x:c r="I11" s="75" t="str">
        <x:f>IF(AND(3&gt;=$D11,3&lt;=$E11),"X","")</x:f>
      </x:c>
      <x:c r="J11" s="75" t="str">
        <x:f>IF(AND(4&gt;=$D11,4&lt;=$E11),"X","")</x:f>
      </x:c>
      <x:c r="K11" s="75" t="str">
        <x:f>IF(AND(5&gt;=$D11,5&lt;=$E11),"X","")</x:f>
      </x:c>
      <x:c r="L11" s="75" t="str">
        <x:f>IF(AND(6&gt;=$D11,6&lt;=$E11),"X","")</x:f>
      </x:c>
      <x:c r="M11" s="75" t="str">
        <x:f>IF(AND(7&gt;=$D11,7&lt;=$E11),"X","")</x:f>
      </x:c>
      <x:c r="N11" s="75" t="str">
        <x:f>IF(AND(8&gt;=$D11,8&lt;=$E11),"X","")</x:f>
      </x:c>
      <x:c r="O11" s="75" t="str">
        <x:f>IF(AND(9&gt;=$D11,9&lt;=$E11),"X","")</x:f>
        <x:v>X</x:v>
      </x:c>
      <x:c r="P11" s="75" t="str">
        <x:f>IF(AND(10&gt;=$D11,10&lt;=$E11),"X","")</x:f>
        <x:v>X</x:v>
      </x:c>
      <x:c r="Q11" s="75" t="str">
        <x:f>IF(AND(11&gt;=$D11,11&lt;=$E11),"X","")</x:f>
      </x:c>
      <x:c r="R11" s="75" t="str">
        <x:f>IF(AND(12&gt;=$D11,12&lt;=$E11),"X","")</x:f>
      </x:c>
      <x:c r="S11" s="75" t="str">
        <x:f>IF(AND(13&gt;=$D11,13&lt;=$E11),"X","")</x:f>
      </x:c>
      <x:c r="T11" s="75" t="str">
        <x:f>IF(AND(14&gt;=$D11,14&lt;=$E11),"X","")</x:f>
      </x:c>
      <x:c r="U11" s="75" t="str">
        <x:f>IF(AND(15&gt;=$D11,15&lt;=$E11),"X","")</x:f>
      </x:c>
      <x:c r="V11" s="75" t="str">
        <x:f>IF(AND(16&gt;=$D11,16&lt;=$E11),"X","")</x:f>
      </x:c>
      <x:c r="W11" s="75" t="str">
        <x:f>IF(AND(17&gt;=$D11,17&lt;=$E11),"X","")</x:f>
      </x:c>
      <x:c r="X11" s="76" t="str">
        <x:f>IF(AND(18&gt;=$D11,18&lt;=$E11),"X","")</x:f>
      </x:c>
    </x:row>
    <x:row r="12">
      <x:c r="A12" s="51" t="str">
        <x:v>T08</x:v>
      </x:c>
      <x:c r="B12" s="71" t="str">
        <x:v>Fase 2</x:v>
      </x:c>
      <x:c r="C12" s="71" t="str">
        <x:v>Informe de avance y demostración</x:v>
      </x:c>
      <x:c r="D12" s="71" t="n">
        <x:v>9</x:v>
      </x:c>
      <x:c r="E12" s="71" t="n">
        <x:v>10</x:v>
      </x:c>
      <x:c r="F12" s="71" t="str">
        <x:v>Equipo</x:v>
      </x:c>
      <x:c r="G12" s="75" t="str">
        <x:f>IF(AND(1&gt;=$D12,1&lt;=$E12),"X","")</x:f>
      </x:c>
      <x:c r="H12" s="75" t="str">
        <x:f>IF(AND(2&gt;=$D12,2&lt;=$E12),"X","")</x:f>
      </x:c>
      <x:c r="I12" s="75" t="str">
        <x:f>IF(AND(3&gt;=$D12,3&lt;=$E12),"X","")</x:f>
      </x:c>
      <x:c r="J12" s="75" t="str">
        <x:f>IF(AND(4&gt;=$D12,4&lt;=$E12),"X","")</x:f>
      </x:c>
      <x:c r="K12" s="75" t="str">
        <x:f>IF(AND(5&gt;=$D12,5&lt;=$E12),"X","")</x:f>
      </x:c>
      <x:c r="L12" s="75" t="str">
        <x:f>IF(AND(6&gt;=$D12,6&lt;=$E12),"X","")</x:f>
      </x:c>
      <x:c r="M12" s="75" t="str">
        <x:f>IF(AND(7&gt;=$D12,7&lt;=$E12),"X","")</x:f>
      </x:c>
      <x:c r="N12" s="75" t="str">
        <x:f>IF(AND(8&gt;=$D12,8&lt;=$E12),"X","")</x:f>
      </x:c>
      <x:c r="O12" s="75" t="str">
        <x:f>IF(AND(9&gt;=$D12,9&lt;=$E12),"X","")</x:f>
        <x:v>X</x:v>
      </x:c>
      <x:c r="P12" s="75" t="str">
        <x:f>IF(AND(10&gt;=$D12,10&lt;=$E12),"X","")</x:f>
        <x:v>X</x:v>
      </x:c>
      <x:c r="Q12" s="75" t="str">
        <x:f>IF(AND(11&gt;=$D12,11&lt;=$E12),"X","")</x:f>
      </x:c>
      <x:c r="R12" s="75" t="str">
        <x:f>IF(AND(12&gt;=$D12,12&lt;=$E12),"X","")</x:f>
      </x:c>
      <x:c r="S12" s="75" t="str">
        <x:f>IF(AND(13&gt;=$D12,13&lt;=$E12),"X","")</x:f>
      </x:c>
      <x:c r="T12" s="75" t="str">
        <x:f>IF(AND(14&gt;=$D12,14&lt;=$E12),"X","")</x:f>
      </x:c>
      <x:c r="U12" s="75" t="str">
        <x:f>IF(AND(15&gt;=$D12,15&lt;=$E12),"X","")</x:f>
      </x:c>
      <x:c r="V12" s="75" t="str">
        <x:f>IF(AND(16&gt;=$D12,16&lt;=$E12),"X","")</x:f>
      </x:c>
      <x:c r="W12" s="75" t="str">
        <x:f>IF(AND(17&gt;=$D12,17&lt;=$E12),"X","")</x:f>
      </x:c>
      <x:c r="X12" s="76" t="str">
        <x:f>IF(AND(18&gt;=$D12,18&lt;=$E12),"X","")</x:f>
      </x:c>
    </x:row>
    <x:row r="13">
      <x:c r="A13" s="51" t="str">
        <x:v>T09</x:v>
      </x:c>
      <x:c r="B13" s="71" t="str">
        <x:v>Fase 2</x:v>
      </x:c>
      <x:c r="C13" s="71" t="str">
        <x:v>Agente IA y derivación humana</x:v>
      </x:c>
      <x:c r="D13" s="71" t="n">
        <x:v>11</x:v>
      </x:c>
      <x:c r="E13" s="71" t="n">
        <x:v>12</x:v>
      </x:c>
      <x:c r="F13" s="71" t="str">
        <x:v>Matías</x:v>
      </x:c>
      <x:c r="G13" s="75" t="str">
        <x:f>IF(AND(1&gt;=$D13,1&lt;=$E13),"X","")</x:f>
      </x:c>
      <x:c r="H13" s="75" t="str">
        <x:f>IF(AND(2&gt;=$D13,2&lt;=$E13),"X","")</x:f>
      </x:c>
      <x:c r="I13" s="75" t="str">
        <x:f>IF(AND(3&gt;=$D13,3&lt;=$E13),"X","")</x:f>
      </x:c>
      <x:c r="J13" s="75" t="str">
        <x:f>IF(AND(4&gt;=$D13,4&lt;=$E13),"X","")</x:f>
      </x:c>
      <x:c r="K13" s="75" t="str">
        <x:f>IF(AND(5&gt;=$D13,5&lt;=$E13),"X","")</x:f>
      </x:c>
      <x:c r="L13" s="75" t="str">
        <x:f>IF(AND(6&gt;=$D13,6&lt;=$E13),"X","")</x:f>
      </x:c>
      <x:c r="M13" s="75" t="str">
        <x:f>IF(AND(7&gt;=$D13,7&lt;=$E13),"X","")</x:f>
      </x:c>
      <x:c r="N13" s="75" t="str">
        <x:f>IF(AND(8&gt;=$D13,8&lt;=$E13),"X","")</x:f>
      </x:c>
      <x:c r="O13" s="75" t="str">
        <x:f>IF(AND(9&gt;=$D13,9&lt;=$E13),"X","")</x:f>
      </x:c>
      <x:c r="P13" s="75" t="str">
        <x:f>IF(AND(10&gt;=$D13,10&lt;=$E13),"X","")</x:f>
      </x:c>
      <x:c r="Q13" s="75" t="str">
        <x:f>IF(AND(11&gt;=$D13,11&lt;=$E13),"X","")</x:f>
        <x:v>X</x:v>
      </x:c>
      <x:c r="R13" s="75" t="str">
        <x:f>IF(AND(12&gt;=$D13,12&lt;=$E13),"X","")</x:f>
        <x:v>X</x:v>
      </x:c>
      <x:c r="S13" s="75" t="str">
        <x:f>IF(AND(13&gt;=$D13,13&lt;=$E13),"X","")</x:f>
      </x:c>
      <x:c r="T13" s="75" t="str">
        <x:f>IF(AND(14&gt;=$D13,14&lt;=$E13),"X","")</x:f>
      </x:c>
      <x:c r="U13" s="75" t="str">
        <x:f>IF(AND(15&gt;=$D13,15&lt;=$E13),"X","")</x:f>
      </x:c>
      <x:c r="V13" s="75" t="str">
        <x:f>IF(AND(16&gt;=$D13,16&lt;=$E13),"X","")</x:f>
      </x:c>
      <x:c r="W13" s="75" t="str">
        <x:f>IF(AND(17&gt;=$D13,17&lt;=$E13),"X","")</x:f>
      </x:c>
      <x:c r="X13" s="76" t="str">
        <x:f>IF(AND(18&gt;=$D13,18&lt;=$E13),"X","")</x:f>
      </x:c>
    </x:row>
    <x:row r="14">
      <x:c r="A14" s="51" t="str">
        <x:v>T10</x:v>
      </x:c>
      <x:c r="B14" s="71" t="str">
        <x:v>Fase 2</x:v>
      </x:c>
      <x:c r="C14" s="71" t="str">
        <x:v>Integración, seguridad, rendimiento y VPS</x:v>
      </x:c>
      <x:c r="D14" s="71" t="n">
        <x:v>13</x:v>
      </x:c>
      <x:c r="E14" s="71" t="n">
        <x:v>14</x:v>
      </x:c>
      <x:c r="F14" s="71" t="str">
        <x:v>Joel</x:v>
      </x:c>
      <x:c r="G14" s="75" t="str">
        <x:f>IF(AND(1&gt;=$D14,1&lt;=$E14),"X","")</x:f>
      </x:c>
      <x:c r="H14" s="75" t="str">
        <x:f>IF(AND(2&gt;=$D14,2&lt;=$E14),"X","")</x:f>
      </x:c>
      <x:c r="I14" s="75" t="str">
        <x:f>IF(AND(3&gt;=$D14,3&lt;=$E14),"X","")</x:f>
      </x:c>
      <x:c r="J14" s="75" t="str">
        <x:f>IF(AND(4&gt;=$D14,4&lt;=$E14),"X","")</x:f>
      </x:c>
      <x:c r="K14" s="75" t="str">
        <x:f>IF(AND(5&gt;=$D14,5&lt;=$E14),"X","")</x:f>
      </x:c>
      <x:c r="L14" s="75" t="str">
        <x:f>IF(AND(6&gt;=$D14,6&lt;=$E14),"X","")</x:f>
      </x:c>
      <x:c r="M14" s="75" t="str">
        <x:f>IF(AND(7&gt;=$D14,7&lt;=$E14),"X","")</x:f>
      </x:c>
      <x:c r="N14" s="75" t="str">
        <x:f>IF(AND(8&gt;=$D14,8&lt;=$E14),"X","")</x:f>
      </x:c>
      <x:c r="O14" s="75" t="str">
        <x:f>IF(AND(9&gt;=$D14,9&lt;=$E14),"X","")</x:f>
      </x:c>
      <x:c r="P14" s="75" t="str">
        <x:f>IF(AND(10&gt;=$D14,10&lt;=$E14),"X","")</x:f>
      </x:c>
      <x:c r="Q14" s="75" t="str">
        <x:f>IF(AND(11&gt;=$D14,11&lt;=$E14),"X","")</x:f>
      </x:c>
      <x:c r="R14" s="75" t="str">
        <x:f>IF(AND(12&gt;=$D14,12&lt;=$E14),"X","")</x:f>
      </x:c>
      <x:c r="S14" s="75" t="str">
        <x:f>IF(AND(13&gt;=$D14,13&lt;=$E14),"X","")</x:f>
        <x:v>X</x:v>
      </x:c>
      <x:c r="T14" s="75" t="str">
        <x:f>IF(AND(14&gt;=$D14,14&lt;=$E14),"X","")</x:f>
        <x:v>X</x:v>
      </x:c>
      <x:c r="U14" s="75" t="str">
        <x:f>IF(AND(15&gt;=$D14,15&lt;=$E14),"X","")</x:f>
      </x:c>
      <x:c r="V14" s="75" t="str">
        <x:f>IF(AND(16&gt;=$D14,16&lt;=$E14),"X","")</x:f>
      </x:c>
      <x:c r="W14" s="75" t="str">
        <x:f>IF(AND(17&gt;=$D14,17&lt;=$E14),"X","")</x:f>
      </x:c>
      <x:c r="X14" s="76" t="str">
        <x:f>IF(AND(18&gt;=$D14,18&lt;=$E14),"X","")</x:f>
      </x:c>
    </x:row>
    <x:row r="15">
      <x:c r="A15" s="51" t="str">
        <x:v>T11</x:v>
      </x:c>
      <x:c r="B15" s="71" t="str">
        <x:v>Fase 2</x:v>
      </x:c>
      <x:c r="C15" s="71" t="str">
        <x:v>Pruebas finales, manuales y entrega</x:v>
      </x:c>
      <x:c r="D15" s="71" t="n">
        <x:v>15</x:v>
      </x:c>
      <x:c r="E15" s="71" t="n">
        <x:v>15</x:v>
      </x:c>
      <x:c r="F15" s="71" t="str">
        <x:v>Equipo</x:v>
      </x:c>
      <x:c r="G15" s="75" t="str">
        <x:f>IF(AND(1&gt;=$D15,1&lt;=$E15),"X","")</x:f>
      </x:c>
      <x:c r="H15" s="75" t="str">
        <x:f>IF(AND(2&gt;=$D15,2&lt;=$E15),"X","")</x:f>
      </x:c>
      <x:c r="I15" s="75" t="str">
        <x:f>IF(AND(3&gt;=$D15,3&lt;=$E15),"X","")</x:f>
      </x:c>
      <x:c r="J15" s="75" t="str">
        <x:f>IF(AND(4&gt;=$D15,4&lt;=$E15),"X","")</x:f>
      </x:c>
      <x:c r="K15" s="75" t="str">
        <x:f>IF(AND(5&gt;=$D15,5&lt;=$E15),"X","")</x:f>
      </x:c>
      <x:c r="L15" s="75" t="str">
        <x:f>IF(AND(6&gt;=$D15,6&lt;=$E15),"X","")</x:f>
      </x:c>
      <x:c r="M15" s="75" t="str">
        <x:f>IF(AND(7&gt;=$D15,7&lt;=$E15),"X","")</x:f>
      </x:c>
      <x:c r="N15" s="75" t="str">
        <x:f>IF(AND(8&gt;=$D15,8&lt;=$E15),"X","")</x:f>
      </x:c>
      <x:c r="O15" s="75" t="str">
        <x:f>IF(AND(9&gt;=$D15,9&lt;=$E15),"X","")</x:f>
      </x:c>
      <x:c r="P15" s="75" t="str">
        <x:f>IF(AND(10&gt;=$D15,10&lt;=$E15),"X","")</x:f>
      </x:c>
      <x:c r="Q15" s="75" t="str">
        <x:f>IF(AND(11&gt;=$D15,11&lt;=$E15),"X","")</x:f>
      </x:c>
      <x:c r="R15" s="75" t="str">
        <x:f>IF(AND(12&gt;=$D15,12&lt;=$E15),"X","")</x:f>
      </x:c>
      <x:c r="S15" s="75" t="str">
        <x:f>IF(AND(13&gt;=$D15,13&lt;=$E15),"X","")</x:f>
      </x:c>
      <x:c r="T15" s="75" t="str">
        <x:f>IF(AND(14&gt;=$D15,14&lt;=$E15),"X","")</x:f>
      </x:c>
      <x:c r="U15" s="75" t="str">
        <x:f>IF(AND(15&gt;=$D15,15&lt;=$E15),"X","")</x:f>
        <x:v>X</x:v>
      </x:c>
      <x:c r="V15" s="75" t="str">
        <x:f>IF(AND(16&gt;=$D15,16&lt;=$E15),"X","")</x:f>
      </x:c>
      <x:c r="W15" s="75" t="str">
        <x:f>IF(AND(17&gt;=$D15,17&lt;=$E15),"X","")</x:f>
      </x:c>
      <x:c r="X15" s="76" t="str">
        <x:f>IF(AND(18&gt;=$D15,18&lt;=$E15),"X","")</x:f>
      </x:c>
    </x:row>
    <x:row r="16">
      <x:c r="A16" s="51" t="str">
        <x:v>T12</x:v>
      </x:c>
      <x:c r="B16" s="71" t="str">
        <x:v>Fase 3</x:v>
      </x:c>
      <x:c r="C16" s="71" t="str">
        <x:v>Correcciones y consolidación de evidencias</x:v>
      </x:c>
      <x:c r="D16" s="71" t="n">
        <x:v>16</x:v>
      </x:c>
      <x:c r="E16" s="71" t="n">
        <x:v>16</x:v>
      </x:c>
      <x:c r="F16" s="71" t="str">
        <x:v>Agustín</x:v>
      </x:c>
      <x:c r="G16" s="75" t="str">
        <x:f>IF(AND(1&gt;=$D16,1&lt;=$E16),"X","")</x:f>
      </x:c>
      <x:c r="H16" s="75" t="str">
        <x:f>IF(AND(2&gt;=$D16,2&lt;=$E16),"X","")</x:f>
      </x:c>
      <x:c r="I16" s="75" t="str">
        <x:f>IF(AND(3&gt;=$D16,3&lt;=$E16),"X","")</x:f>
      </x:c>
      <x:c r="J16" s="75" t="str">
        <x:f>IF(AND(4&gt;=$D16,4&lt;=$E16),"X","")</x:f>
      </x:c>
      <x:c r="K16" s="75" t="str">
        <x:f>IF(AND(5&gt;=$D16,5&lt;=$E16),"X","")</x:f>
      </x:c>
      <x:c r="L16" s="75" t="str">
        <x:f>IF(AND(6&gt;=$D16,6&lt;=$E16),"X","")</x:f>
      </x:c>
      <x:c r="M16" s="75" t="str">
        <x:f>IF(AND(7&gt;=$D16,7&lt;=$E16),"X","")</x:f>
      </x:c>
      <x:c r="N16" s="75" t="str">
        <x:f>IF(AND(8&gt;=$D16,8&lt;=$E16),"X","")</x:f>
      </x:c>
      <x:c r="O16" s="75" t="str">
        <x:f>IF(AND(9&gt;=$D16,9&lt;=$E16),"X","")</x:f>
      </x:c>
      <x:c r="P16" s="75" t="str">
        <x:f>IF(AND(10&gt;=$D16,10&lt;=$E16),"X","")</x:f>
      </x:c>
      <x:c r="Q16" s="75" t="str">
        <x:f>IF(AND(11&gt;=$D16,11&lt;=$E16),"X","")</x:f>
      </x:c>
      <x:c r="R16" s="75" t="str">
        <x:f>IF(AND(12&gt;=$D16,12&lt;=$E16),"X","")</x:f>
      </x:c>
      <x:c r="S16" s="75" t="str">
        <x:f>IF(AND(13&gt;=$D16,13&lt;=$E16),"X","")</x:f>
      </x:c>
      <x:c r="T16" s="75" t="str">
        <x:f>IF(AND(14&gt;=$D16,14&lt;=$E16),"X","")</x:f>
      </x:c>
      <x:c r="U16" s="75" t="str">
        <x:f>IF(AND(15&gt;=$D16,15&lt;=$E16),"X","")</x:f>
      </x:c>
      <x:c r="V16" s="75" t="str">
        <x:f>IF(AND(16&gt;=$D16,16&lt;=$E16),"X","")</x:f>
        <x:v>X</x:v>
      </x:c>
      <x:c r="W16" s="75" t="str">
        <x:f>IF(AND(17&gt;=$D16,17&lt;=$E16),"X","")</x:f>
      </x:c>
      <x:c r="X16" s="76" t="str">
        <x:f>IF(AND(18&gt;=$D16,18&lt;=$E16),"X","")</x:f>
      </x:c>
    </x:row>
    <x:row r="17">
      <x:c r="A17" s="53" t="str">
        <x:v>T13</x:v>
      </x:c>
      <x:c r="B17" s="72" t="str">
        <x:v>Fase 3</x:v>
      </x:c>
      <x:c r="C17" s="72" t="str">
        <x:v>Ensayo y presentación ante comisión</x:v>
      </x:c>
      <x:c r="D17" s="72" t="n">
        <x:v>17</x:v>
      </x:c>
      <x:c r="E17" s="72" t="n">
        <x:v>18</x:v>
      </x:c>
      <x:c r="F17" s="72" t="str">
        <x:v>Equipo</x:v>
      </x:c>
      <x:c r="G17" s="77" t="str">
        <x:f>IF(AND(1&gt;=$D17,1&lt;=$E17),"X","")</x:f>
      </x:c>
      <x:c r="H17" s="77" t="str">
        <x:f>IF(AND(2&gt;=$D17,2&lt;=$E17),"X","")</x:f>
      </x:c>
      <x:c r="I17" s="77" t="str">
        <x:f>IF(AND(3&gt;=$D17,3&lt;=$E17),"X","")</x:f>
      </x:c>
      <x:c r="J17" s="77" t="str">
        <x:f>IF(AND(4&gt;=$D17,4&lt;=$E17),"X","")</x:f>
      </x:c>
      <x:c r="K17" s="77" t="str">
        <x:f>IF(AND(5&gt;=$D17,5&lt;=$E17),"X","")</x:f>
      </x:c>
      <x:c r="L17" s="77" t="str">
        <x:f>IF(AND(6&gt;=$D17,6&lt;=$E17),"X","")</x:f>
      </x:c>
      <x:c r="M17" s="77" t="str">
        <x:f>IF(AND(7&gt;=$D17,7&lt;=$E17),"X","")</x:f>
      </x:c>
      <x:c r="N17" s="77" t="str">
        <x:f>IF(AND(8&gt;=$D17,8&lt;=$E17),"X","")</x:f>
      </x:c>
      <x:c r="O17" s="77" t="str">
        <x:f>IF(AND(9&gt;=$D17,9&lt;=$E17),"X","")</x:f>
      </x:c>
      <x:c r="P17" s="77" t="str">
        <x:f>IF(AND(10&gt;=$D17,10&lt;=$E17),"X","")</x:f>
      </x:c>
      <x:c r="Q17" s="77" t="str">
        <x:f>IF(AND(11&gt;=$D17,11&lt;=$E17),"X","")</x:f>
      </x:c>
      <x:c r="R17" s="77" t="str">
        <x:f>IF(AND(12&gt;=$D17,12&lt;=$E17),"X","")</x:f>
      </x:c>
      <x:c r="S17" s="77" t="str">
        <x:f>IF(AND(13&gt;=$D17,13&lt;=$E17),"X","")</x:f>
      </x:c>
      <x:c r="T17" s="77" t="str">
        <x:f>IF(AND(14&gt;=$D17,14&lt;=$E17),"X","")</x:f>
      </x:c>
      <x:c r="U17" s="77" t="str">
        <x:f>IF(AND(15&gt;=$D17,15&lt;=$E17),"X","")</x:f>
      </x:c>
      <x:c r="V17" s="77" t="str">
        <x:f>IF(AND(16&gt;=$D17,16&lt;=$E17),"X","")</x:f>
      </x:c>
      <x:c r="W17" s="77" t="str">
        <x:f>IF(AND(17&gt;=$D17,17&lt;=$E17),"X","")</x:f>
        <x:v>X</x:v>
      </x:c>
      <x:c r="X17" s="78" t="str">
        <x:f>IF(AND(18&gt;=$D17,18&lt;=$E17),"X","")</x:f>
        <x:v>X</x:v>
      </x:c>
    </x:row>
  </x:sheetData>
  <x:mergeCells>
    <x:mergeCell ref="A1:X2"/>
  </x:mergeCells>
  <x:conditionalFormatting sqref="G5:J17">
    <x:cfRule type="expression" dxfId="0" priority="1">
      <x:formula>G5="X"</x:formula>
    </x:cfRule>
  </x:conditionalFormatting>
  <x:conditionalFormatting sqref="K5:V17">
    <x:cfRule type="expression" dxfId="1" priority="2">
      <x:formula>K5="X"</x:formula>
    </x:cfRule>
  </x:conditionalFormatting>
  <x:conditionalFormatting sqref="W5:X17">
    <x:cfRule type="expression" dxfId="2" priority="3">
      <x:formula>W5="X"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4" hidden="0" customWidth="1"/>
    <x:col min="3" max="3" width="34" hidden="0" customWidth="1"/>
    <x:col min="4" max="4" width="8" hidden="0" customWidth="1"/>
    <x:col min="5" max="5" width="8" hidden="0" customWidth="1"/>
    <x:col min="6" max="6" width="17" hidden="0" customWidth="1"/>
    <x:col min="7" max="7" width="27" hidden="0" customWidth="1"/>
    <x:col min="8" max="8" width="14" hidden="0" customWidth="1"/>
    <x:col min="9" max="9" width="22" hidden="0" customWidth="1"/>
    <x:col min="10" max="10" width="34" hidden="0" customWidth="1"/>
  </x:cols>
  <x:sheetData>
    <x:row r="1" ht="30" customHeight="1">
      <x:c r="A1" s="4" t="str">
        <x:v>Plan de trabajo y trazabilidad</x:v>
      </x:c>
    </x:row>
    <x:row r="2" ht="30" customHeight="1"/>
    <x:row r="4" ht="34" customHeight="1">
      <x:c r="A4" s="35" t="str">
        <x:v>ID</x:v>
      </x:c>
      <x:c r="B4" s="63" t="str">
        <x:v>Competencia</x:v>
      </x:c>
      <x:c r="C4" s="63" t="str">
        <x:v>Actividad / hito</x:v>
      </x:c>
      <x:c r="D4" s="63" t="str">
        <x:v>Inicio</x:v>
      </x:c>
      <x:c r="E4" s="63" t="str">
        <x:v>Fin</x:v>
      </x:c>
      <x:c r="F4" s="63" t="str">
        <x:v>Responsable</x:v>
      </x:c>
      <x:c r="G4" s="63" t="str">
        <x:v>Recursos</x:v>
      </x:c>
      <x:c r="H4" s="63" t="str">
        <x:v>Estado</x:v>
      </x:c>
      <x:c r="I4" s="63" t="str">
        <x:v>Evidencia</x:v>
      </x:c>
      <x:c r="J4" s="36" t="str">
        <x:v>Obstáculo / mitigación</x:v>
      </x:c>
    </x:row>
    <x:row r="5">
      <x:c r="A5" s="49" t="str">
        <x:v>PT01</x:v>
      </x:c>
      <x:c r="B5" s="70" t="str">
        <x:v>C2</x:v>
      </x:c>
      <x:c r="C5" s="70" t="str">
        <x:v>Definir problema, actores, alcance y objetivos</x:v>
      </x:c>
      <x:c r="D5" s="70" t="n">
        <x:v>1</x:v>
      </x:c>
      <x:c r="E5" s="70" t="n">
        <x:v>2</x:v>
      </x:c>
      <x:c r="F5" s="70" t="str">
        <x:v>Joel</x:v>
      </x:c>
      <x:c r="G5" s="70" t="str">
        <x:v>Guías, repo, entrevistas</x:v>
      </x:c>
      <x:c r="H5" s="70" t="str">
        <x:v>En curso</x:v>
      </x:c>
      <x:c r="I5" s="70" t="str">
        <x:v>Informe Fase 1</x:v>
      </x:c>
      <x:c r="J5" s="50" t="str">
        <x:v>Supuestos / validar con docente</x:v>
      </x:c>
    </x:row>
    <x:row r="6">
      <x:c r="A6" s="51" t="str">
        <x:v>PT02</x:v>
      </x:c>
      <x:c r="B6" s="71" t="str">
        <x:v>C2/C4</x:v>
      </x:c>
      <x:c r="C6" s="71" t="str">
        <x:v>Diseñar arquitectura, requisitos, UX y backlog</x:v>
      </x:c>
      <x:c r="D6" s="71" t="n">
        <x:v>2</x:v>
      </x:c>
      <x:c r="E6" s="71" t="n">
        <x:v>4</x:v>
      </x:c>
      <x:c r="F6" s="71" t="str">
        <x:v>Equipo</x:v>
      </x:c>
      <x:c r="G6" s="71" t="str">
        <x:v>Mermaid, prototipo, GitHub</x:v>
      </x:c>
      <x:c r="H6" s="71" t="str">
        <x:v>Pendiente</x:v>
      </x:c>
      <x:c r="I6" s="71" t="str">
        <x:v>Diagramas y backlog</x:v>
      </x:c>
      <x:c r="J6" s="52" t="str">
        <x:v>Sobrediseño / priorizar MVP</x:v>
      </x:c>
    </x:row>
    <x:row r="7">
      <x:c r="A7" s="51" t="str">
        <x:v>PT03</x:v>
      </x:c>
      <x:c r="B7" s="71" t="str">
        <x:v>C3/C4</x:v>
      </x:c>
      <x:c r="C7" s="71" t="str">
        <x:v>Implementar datos, API, autenticación y auditoría</x:v>
      </x:c>
      <x:c r="D7" s="71" t="n">
        <x:v>5</x:v>
      </x:c>
      <x:c r="E7" s="71" t="n">
        <x:v>6</x:v>
      </x:c>
      <x:c r="F7" s="71" t="str">
        <x:v>Joel/Matías</x:v>
      </x:c>
      <x:c r="G7" s="71" t="str">
        <x:v>PostgreSQL, NestJS, Prisma</x:v>
      </x:c>
      <x:c r="H7" s="71" t="str">
        <x:v>Pendiente</x:v>
      </x:c>
      <x:c r="I7" s="71" t="str">
        <x:v>Incremento 1</x:v>
      </x:c>
      <x:c r="J7" s="52" t="str">
        <x:v>Aprendizaje / spikes</x:v>
      </x:c>
    </x:row>
    <x:row r="8">
      <x:c r="A8" s="51" t="str">
        <x:v>PT04</x:v>
      </x:c>
      <x:c r="B8" s="71" t="str">
        <x:v>C3/C4</x:v>
      </x:c>
      <x:c r="C8" s="71" t="str">
        <x:v>Implementar propiedades, imágenes y publicación</x:v>
      </x:c>
      <x:c r="D8" s="71" t="n">
        <x:v>7</x:v>
      </x:c>
      <x:c r="E8" s="71" t="n">
        <x:v>8</x:v>
      </x:c>
      <x:c r="F8" s="71" t="str">
        <x:v>Matías</x:v>
      </x:c>
      <x:c r="G8" s="71" t="str">
        <x:v>API, almacenamiento</x:v>
      </x:c>
      <x:c r="H8" s="71" t="str">
        <x:v>Pendiente</x:v>
      </x:c>
      <x:c r="I8" s="71" t="str">
        <x:v>Incremento 2</x:v>
      </x:c>
      <x:c r="J8" s="52" t="str">
        <x:v>Datos / usar dataset sintético</x:v>
      </x:c>
    </x:row>
    <x:row r="9">
      <x:c r="A9" s="51" t="str">
        <x:v>PT05</x:v>
      </x:c>
      <x:c r="B9" s="71" t="str">
        <x:v>C2/C4</x:v>
      </x:c>
      <x:c r="C9" s="71" t="str">
        <x:v>Integrar CRM, vitrina y consultas</x:v>
      </x:c>
      <x:c r="D9" s="71" t="n">
        <x:v>9</x:v>
      </x:c>
      <x:c r="E9" s="71" t="n">
        <x:v>10</x:v>
      </x:c>
      <x:c r="F9" s="71" t="str">
        <x:v>Agustín</x:v>
      </x:c>
      <x:c r="G9" s="71" t="str">
        <x:v>Next.js, API</x:v>
      </x:c>
      <x:c r="H9" s="71" t="str">
        <x:v>Pendiente</x:v>
      </x:c>
      <x:c r="I9" s="71" t="str">
        <x:v>Informe avance</x:v>
      </x:c>
      <x:c r="J9" s="52" t="str">
        <x:v>Dependencias / contrato API temprano</x:v>
      </x:c>
    </x:row>
    <x:row r="10">
      <x:c r="A10" s="51" t="str">
        <x:v>PT06</x:v>
      </x:c>
      <x:c r="B10" s="71" t="str">
        <x:v>C1/C4</x:v>
      </x:c>
      <x:c r="C10" s="71" t="str">
        <x:v>Integrar agente IA y derivación</x:v>
      </x:c>
      <x:c r="D10" s="71" t="n">
        <x:v>11</x:v>
      </x:c>
      <x:c r="E10" s="71" t="n">
        <x:v>12</x:v>
      </x:c>
      <x:c r="F10" s="71" t="str">
        <x:v>Matías</x:v>
      </x:c>
      <x:c r="G10" s="71" t="str">
        <x:v>Adaptador LLM, prompts</x:v>
      </x:c>
      <x:c r="H10" s="71" t="str">
        <x:v>Pendiente</x:v>
      </x:c>
      <x:c r="I10" s="71" t="str">
        <x:v>Incremento 4</x:v>
      </x:c>
      <x:c r="J10" s="52" t="str">
        <x:v>Costo/alucinación / límites</x:v>
      </x:c>
    </x:row>
    <x:row r="11">
      <x:c r="A11" s="51" t="str">
        <x:v>PT07</x:v>
      </x:c>
      <x:c r="B11" s="71" t="str">
        <x:v>C1/C4</x:v>
      </x:c>
      <x:c r="C11" s="71" t="str">
        <x:v>Probar seguridad, rendimiento y recuperación</x:v>
      </x:c>
      <x:c r="D11" s="71" t="n">
        <x:v>13</x:v>
      </x:c>
      <x:c r="E11" s="71" t="n">
        <x:v>14</x:v>
      </x:c>
      <x:c r="F11" s="71" t="str">
        <x:v>Equipo</x:v>
      </x:c>
      <x:c r="G11" s="71" t="str">
        <x:v>QA, VPS, Docker</x:v>
      </x:c>
      <x:c r="H11" s="71" t="str">
        <x:v>Pendiente</x:v>
      </x:c>
      <x:c r="I11" s="71" t="str">
        <x:v>Reporte pruebas</x:v>
      </x:c>
      <x:c r="J11" s="52" t="str">
        <x:v>Capacidad VPS / pruebas anticipadas</x:v>
      </x:c>
    </x:row>
    <x:row r="12">
      <x:c r="A12" s="51" t="str">
        <x:v>PT08</x:v>
      </x:c>
      <x:c r="B12" s="71" t="str">
        <x:v>C1-C5</x:v>
      </x:c>
      <x:c r="C12" s="71" t="str">
        <x:v>Cerrar manuales, entrega y demostración</x:v>
      </x:c>
      <x:c r="D12" s="71" t="n">
        <x:v>15</x:v>
      </x:c>
      <x:c r="E12" s="71" t="n">
        <x:v>15</x:v>
      </x:c>
      <x:c r="F12" s="71" t="str">
        <x:v>Equipo</x:v>
      </x:c>
      <x:c r="G12" s="71" t="str">
        <x:v>Documentos, demo</x:v>
      </x:c>
      <x:c r="H12" s="71" t="str">
        <x:v>Pendiente</x:v>
      </x:c>
      <x:c r="I12" s="71" t="str">
        <x:v>Informe final</x:v>
      </x:c>
      <x:c r="J12" s="52" t="str">
        <x:v>Cambios tardíos / congelar alcance</x:v>
      </x:c>
    </x:row>
    <x:row r="13">
      <x:c r="A13" s="51" t="str">
        <x:v>PT09</x:v>
      </x:c>
      <x:c r="B13" s="71" t="str">
        <x:v>C2/C5</x:v>
      </x:c>
      <x:c r="C13" s="71" t="str">
        <x:v>Aplicar retroalimentación</x:v>
      </x:c>
      <x:c r="D13" s="71" t="n">
        <x:v>16</x:v>
      </x:c>
      <x:c r="E13" s="71" t="n">
        <x:v>16</x:v>
      </x:c>
      <x:c r="F13" s="71" t="str">
        <x:v>Agustín</x:v>
      </x:c>
      <x:c r="G13" s="71" t="str">
        <x:v>Backlog, GitHub</x:v>
      </x:c>
      <x:c r="H13" s="71" t="str">
        <x:v>Pendiente</x:v>
      </x:c>
      <x:c r="I13" s="71" t="str">
        <x:v>Versión corregida</x:v>
      </x:c>
      <x:c r="J13" s="52" t="str">
        <x:v>Cambios / control de alcance</x:v>
      </x:c>
    </x:row>
    <x:row r="14">
      <x:c r="A14" s="53" t="str">
        <x:v>PT10</x:v>
      </x:c>
      <x:c r="B14" s="72" t="str">
        <x:v>C5</x:v>
      </x:c>
      <x:c r="C14" s="72" t="str">
        <x:v>Ensayar y presentar ante comisión</x:v>
      </x:c>
      <x:c r="D14" s="72" t="n">
        <x:v>17</x:v>
      </x:c>
      <x:c r="E14" s="72" t="n">
        <x:v>18</x:v>
      </x:c>
      <x:c r="F14" s="72" t="str">
        <x:v>Equipo</x:v>
      </x:c>
      <x:c r="G14" s="72" t="str">
        <x:v>Slides, demo</x:v>
      </x:c>
      <x:c r="H14" s="72" t="str">
        <x:v>Pendiente</x:v>
      </x:c>
      <x:c r="I14" s="72" t="str">
        <x:v>Presentación</x:v>
      </x:c>
      <x:c r="J14" s="54" t="str">
        <x:v>Tiempo / ensayos cronometrados</x:v>
      </x:c>
    </x:row>
  </x:sheetData>
  <x:mergeCells>
    <x:mergeCell ref="A1:J2"/>
  </x:mergeCells>
  <x:conditionalFormatting sqref="H5:H24">
    <x:cfRule type="containsText" dxfId="3" priority="1" operator="containsText" text="Completado"/>
    <x:cfRule type="containsText" dxfId="4" priority="2" operator="containsText" text="En curso"/>
    <x:cfRule type="containsText" dxfId="5" priority="3" operator="containsText" text="Bloqueado"/>
  </x:conditionalFormatting>
  <x:dataValidations count="1">
    <x:dataValidation type="list" sqref="H5:H24">
      <x:formula1>"Pendiente,En curso,Bloqueado,Completado"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25" hidden="0" customWidth="1"/>
    <x:col min="4" max="4" width="42" hidden="0" customWidth="1"/>
    <x:col min="5" max="5" width="16" hidden="0" customWidth="1"/>
    <x:col min="6" max="6" width="18" hidden="0" customWidth="1"/>
    <x:col min="7" max="7" width="20" hidden="0" customWidth="1"/>
    <x:col min="8" max="8" width="24" hidden="0" customWidth="1"/>
  </x:cols>
  <x:sheetData>
    <x:row r="1" ht="30" customHeight="1">
      <x:c r="A1" s="4" t="str">
        <x:v>Matriz de evidencias académicas</x:v>
      </x:c>
    </x:row>
    <x:row r="2" ht="30" customHeight="1"/>
    <x:row r="4" ht="34" customHeight="1">
      <x:c r="A4" s="35" t="str">
        <x:v>ID</x:v>
      </x:c>
      <x:c r="B4" s="63" t="str">
        <x:v>Tipo</x:v>
      </x:c>
      <x:c r="C4" s="63" t="str">
        <x:v>Evidencia</x:v>
      </x:c>
      <x:c r="D4" s="63" t="str">
        <x:v>Descripción</x:v>
      </x:c>
      <x:c r="E4" s="63" t="str">
        <x:v>Indicadores</x:v>
      </x:c>
      <x:c r="F4" s="63" t="str">
        <x:v>Responsable</x:v>
      </x:c>
      <x:c r="G4" s="63" t="str">
        <x:v>Aprobación docente</x:v>
      </x:c>
      <x:c r="H4" s="36" t="str">
        <x:v>Ubicación</x:v>
      </x:c>
    </x:row>
    <x:row r="5">
      <x:c r="A5" s="49" t="str">
        <x:v>EV01</x:v>
      </x:c>
      <x:c r="B5" s="70" t="str">
        <x:v>Avance</x:v>
      </x:c>
      <x:c r="C5" s="70" t="str">
        <x:v>Definición y Scrum</x:v>
      </x:c>
      <x:c r="D5" s="70" t="str">
        <x:v>Informe, visión, actores, backlog y DoD</x:v>
      </x:c>
      <x:c r="E5" s="70" t="str">
        <x:v>1,2,4,5,6,7,12</x:v>
      </x:c>
      <x:c r="F5" s="70" t="str">
        <x:v>Equipo</x:v>
      </x:c>
      <x:c r="G5" s="70" t="str">
        <x:v>Pendiente</x:v>
      </x:c>
      <x:c r="H5" s="50" t="str">
        <x:v>docs/fase-1</x:v>
      </x:c>
    </x:row>
    <x:row r="6">
      <x:c r="A6" s="51" t="str">
        <x:v>EV02</x:v>
      </x:c>
      <x:c r="B6" s="71" t="str">
        <x:v>Avance</x:v>
      </x:c>
      <x:c r="C6" s="71" t="str">
        <x:v>Diseño técnico</x:v>
      </x:c>
      <x:c r="D6" s="71" t="str">
        <x:v>Arquitectura, UML, ER, diccionario y prototipo</x:v>
      </x:c>
      <x:c r="E6" s="71" t="str">
        <x:v>2,5,11</x:v>
      </x:c>
      <x:c r="F6" s="71" t="str">
        <x:v>Equipo</x:v>
      </x:c>
      <x:c r="G6" s="71" t="str">
        <x:v>Pendiente</x:v>
      </x:c>
      <x:c r="H6" s="52" t="str">
        <x:v>docs</x:v>
      </x:c>
    </x:row>
    <x:row r="7">
      <x:c r="A7" s="51" t="str">
        <x:v>EV03</x:v>
      </x:c>
      <x:c r="B7" s="71" t="str">
        <x:v>Avance</x:v>
      </x:c>
      <x:c r="C7" s="71" t="str">
        <x:v>Incremento ejecutable</x:v>
      </x:c>
      <x:c r="D7" s="71" t="str">
        <x:v>Autenticación, propiedades, contactos y auditoría</x:v>
      </x:c>
      <x:c r="E7" s="71" t="str">
        <x:v>7,8,11,12</x:v>
      </x:c>
      <x:c r="F7" s="71" t="str">
        <x:v>Joel/Matías</x:v>
      </x:c>
      <x:c r="G7" s="71" t="str">
        <x:v>Pendiente</x:v>
      </x:c>
      <x:c r="H7" s="52" t="str">
        <x:v>Código y release</x:v>
      </x:c>
    </x:row>
    <x:row r="8">
      <x:c r="A8" s="51" t="str">
        <x:v>EV04</x:v>
      </x:c>
      <x:c r="B8" s="71" t="str">
        <x:v>Avance</x:v>
      </x:c>
      <x:c r="C8" s="71" t="str">
        <x:v>Calidad continua</x:v>
      </x:c>
      <x:c r="D8" s="71" t="str">
        <x:v>Pruebas, revisión de código y CI</x:v>
      </x:c>
      <x:c r="E8" s="71" t="str">
        <x:v>8,11</x:v>
      </x:c>
      <x:c r="F8" s="71" t="str">
        <x:v>Equipo</x:v>
      </x:c>
      <x:c r="G8" s="71" t="str">
        <x:v>Pendiente</x:v>
      </x:c>
      <x:c r="H8" s="52" t="str">
        <x:v>Reportes CI</x:v>
      </x:c>
    </x:row>
    <x:row r="9">
      <x:c r="A9" s="51" t="str">
        <x:v>EV05</x:v>
      </x:c>
      <x:c r="B9" s="71" t="str">
        <x:v>Final</x:v>
      </x:c>
      <x:c r="C9" s="71" t="str">
        <x:v>Plataforma integrada</x:v>
      </x:c>
      <x:c r="D9" s="71" t="str">
        <x:v>CRM, vitrina, consultas y agente IA</x:v>
      </x:c>
      <x:c r="E9" s="71" t="str">
        <x:v>1,2,5,6,11</x:v>
      </x:c>
      <x:c r="F9" s="71" t="str">
        <x:v>Equipo</x:v>
      </x:c>
      <x:c r="G9" s="71" t="str">
        <x:v>Pendiente</x:v>
      </x:c>
      <x:c r="H9" s="52" t="str">
        <x:v>Release final</x:v>
      </x:c>
    </x:row>
    <x:row r="10">
      <x:c r="A10" s="51" t="str">
        <x:v>EV06</x:v>
      </x:c>
      <x:c r="B10" s="71" t="str">
        <x:v>Final</x:v>
      </x:c>
      <x:c r="C10" s="71" t="str">
        <x:v>Despliegue</x:v>
      </x:c>
      <x:c r="D10" s="71" t="str">
        <x:v>Dockerfiles, Compose, HTTPS y respaldos</x:v>
      </x:c>
      <x:c r="E10" s="71" t="str">
        <x:v>4,7,11,12</x:v>
      </x:c>
      <x:c r="F10" s="71" t="str">
        <x:v>Joel</x:v>
      </x:c>
      <x:c r="G10" s="71" t="str">
        <x:v>Pendiente</x:v>
      </x:c>
      <x:c r="H10" s="52" t="str">
        <x:v>infra/ y manual</x:v>
      </x:c>
    </x:row>
    <x:row r="11">
      <x:c r="A11" s="51" t="str">
        <x:v>EV07</x:v>
      </x:c>
      <x:c r="B11" s="71" t="str">
        <x:v>Final</x:v>
      </x:c>
      <x:c r="C11" s="71" t="str">
        <x:v>Pruebas finales</x:v>
      </x:c>
      <x:c r="D11" s="71" t="str">
        <x:v>Resultados unitarios, integración, seguridad y rendimiento</x:v>
      </x:c>
      <x:c r="E11" s="71" t="str">
        <x:v>8,11</x:v>
      </x:c>
      <x:c r="F11" s="71" t="str">
        <x:v>Matías</x:v>
      </x:c>
      <x:c r="G11" s="71" t="str">
        <x:v>Pendiente</x:v>
      </x:c>
      <x:c r="H11" s="52" t="str">
        <x:v>docs/pruebas</x:v>
      </x:c>
    </x:row>
    <x:row r="12">
      <x:c r="A12" s="51" t="str">
        <x:v>EV08</x:v>
      </x:c>
      <x:c r="B12" s="71" t="str">
        <x:v>Final</x:v>
      </x:c>
      <x:c r="C12" s="71" t="str">
        <x:v>Manuales</x:v>
      </x:c>
      <x:c r="D12" s="71" t="str">
        <x:v>Manual técnico, despliegue y usuario</x:v>
      </x:c>
      <x:c r="E12" s="71" t="str">
        <x:v>9,10,11</x:v>
      </x:c>
      <x:c r="F12" s="71" t="str">
        <x:v>Agustín</x:v>
      </x:c>
      <x:c r="G12" s="71" t="str">
        <x:v>Pendiente</x:v>
      </x:c>
      <x:c r="H12" s="52" t="str">
        <x:v>docs/manuales</x:v>
      </x:c>
    </x:row>
    <x:row r="13">
      <x:c r="A13" s="53" t="str">
        <x:v>EV09</x:v>
      </x:c>
      <x:c r="B13" s="72" t="str">
        <x:v>Final</x:v>
      </x:c>
      <x:c r="C13" s="72" t="str">
        <x:v>Trazabilidad</x:v>
      </x:c>
      <x:c r="D13" s="72" t="str">
        <x:v>GitHub, reviews, retrospectivas y ADR</x:v>
      </x:c>
      <x:c r="E13" s="72" t="str">
        <x:v>7,8,13</x:v>
      </x:c>
      <x:c r="F13" s="72" t="str">
        <x:v>Equipo</x:v>
      </x:c>
      <x:c r="G13" s="72" t="str">
        <x:v>Pendiente</x:v>
      </x:c>
      <x:c r="H13" s="54" t="str">
        <x:v>GitHub</x:v>
      </x:c>
    </x:row>
  </x:sheetData>
  <x:mergeCells>
    <x:mergeCell ref="A1:H2"/>
  </x:mergeCells>
  <x:dataValidations count="1">
    <x:dataValidation type="list" sqref="G5:G16">
      <x:formula1>"Pendiente,Aprobada,Rechazada,Requiere cambios"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3" max="3" width="20" hidden="0" customWidth="1"/>
    <x:col min="4" max="4" width="19" hidden="0" customWidth="1"/>
    <x:col min="5" max="5" width="14" hidden="0" customWidth="1"/>
    <x:col min="6" max="6" width="38" hidden="0" customWidth="1"/>
  </x:cols>
  <x:sheetData>
    <x:row r="1" ht="30" customHeight="1">
      <x:c r="A1" s="4" t="str">
        <x:v>Responsabilidades RACI</x:v>
      </x:c>
    </x:row>
    <x:row r="2" ht="30" customHeight="1"/>
    <x:row r="4" ht="34" customHeight="1">
      <x:c r="A4" s="35" t="str">
        <x:v>Actividad</x:v>
      </x:c>
      <x:c r="B4" s="63" t="str">
        <x:v>Joel López</x:v>
      </x:c>
      <x:c r="C4" s="63" t="str">
        <x:v>Agustín Sorolla</x:v>
      </x:c>
      <x:c r="D4" s="63" t="str">
        <x:v>Matías Martínez</x:v>
      </x:c>
      <x:c r="E4" s="63" t="str">
        <x:v>Docente</x:v>
      </x:c>
      <x:c r="F4" s="36" t="str">
        <x:v>Criterio</x:v>
      </x:c>
    </x:row>
    <x:row r="5">
      <x:c r="A5" s="49" t="str">
        <x:v>Alcance y backlog</x:v>
      </x:c>
      <x:c r="B5" s="70" t="str">
        <x:v>A/R</x:v>
      </x:c>
      <x:c r="C5" s="70" t="str">
        <x:v>C</x:v>
      </x:c>
      <x:c r="D5" s="70" t="str">
        <x:v>C</x:v>
      </x:c>
      <x:c r="E5" s="70" t="str">
        <x:v>C</x:v>
      </x:c>
      <x:c r="F5" s="50" t="str">
        <x:v>Product Owner coordina; docente valida</x:v>
      </x:c>
    </x:row>
    <x:row r="6">
      <x:c r="A6" s="51" t="str">
        <x:v>Ceremonias Scrum</x:v>
      </x:c>
      <x:c r="B6" s="71" t="str">
        <x:v>C</x:v>
      </x:c>
      <x:c r="C6" s="71" t="str">
        <x:v>A/R</x:v>
      </x:c>
      <x:c r="D6" s="71" t="str">
        <x:v>C</x:v>
      </x:c>
      <x:c r="E6" s="71" t="str">
        <x:v>I</x:v>
      </x:c>
      <x:c r="F6" s="52" t="str">
        <x:v>Scrum Master facilita</x:v>
      </x:c>
    </x:row>
    <x:row r="7">
      <x:c r="A7" s="51" t="str">
        <x:v>Arquitectura y backend</x:v>
      </x:c>
      <x:c r="B7" s="71" t="str">
        <x:v>A/R</x:v>
      </x:c>
      <x:c r="C7" s="71" t="str">
        <x:v>C</x:v>
      </x:c>
      <x:c r="D7" s="71" t="str">
        <x:v>C</x:v>
      </x:c>
      <x:c r="E7" s="71" t="str">
        <x:v>I</x:v>
      </x:c>
      <x:c r="F7" s="52" t="str">
        <x:v>Revisión cruzada obligatoria</x:v>
      </x:c>
    </x:row>
    <x:row r="8">
      <x:c r="A8" s="51" t="str">
        <x:v>Frontend y UX</x:v>
      </x:c>
      <x:c r="B8" s="71" t="str">
        <x:v>C</x:v>
      </x:c>
      <x:c r="C8" s="71" t="str">
        <x:v>A/R</x:v>
      </x:c>
      <x:c r="D8" s="71" t="str">
        <x:v>C</x:v>
      </x:c>
      <x:c r="E8" s="71" t="str">
        <x:v>I</x:v>
      </x:c>
      <x:c r="F8" s="52" t="str">
        <x:v>Accesibilidad incluida</x:v>
      </x:c>
    </x:row>
    <x:row r="9">
      <x:c r="A9" s="51" t="str">
        <x:v>Datos y migraciones</x:v>
      </x:c>
      <x:c r="B9" s="71" t="str">
        <x:v>C</x:v>
      </x:c>
      <x:c r="C9" s="71" t="str">
        <x:v>C</x:v>
      </x:c>
      <x:c r="D9" s="71" t="str">
        <x:v>A/R</x:v>
      </x:c>
      <x:c r="E9" s="71" t="str">
        <x:v>I</x:v>
      </x:c>
      <x:c r="F9" s="52" t="str">
        <x:v>Modelo versionado</x:v>
      </x:c>
    </x:row>
    <x:row r="10">
      <x:c r="A10" s="51" t="str">
        <x:v>Agente IA</x:v>
      </x:c>
      <x:c r="B10" s="71" t="str">
        <x:v>C</x:v>
      </x:c>
      <x:c r="C10" s="71" t="str">
        <x:v>C</x:v>
      </x:c>
      <x:c r="D10" s="71" t="str">
        <x:v>A/R</x:v>
      </x:c>
      <x:c r="E10" s="71" t="str">
        <x:v>I</x:v>
      </x:c>
      <x:c r="F10" s="52" t="str">
        <x:v>Límites y pruebas documentados</x:v>
      </x:c>
    </x:row>
    <x:row r="11">
      <x:c r="A11" s="51" t="str">
        <x:v>VPS y DevOps</x:v>
      </x:c>
      <x:c r="B11" s="71" t="str">
        <x:v>A/R</x:v>
      </x:c>
      <x:c r="C11" s="71" t="str">
        <x:v>C</x:v>
      </x:c>
      <x:c r="D11" s="71" t="str">
        <x:v>C</x:v>
      </x:c>
      <x:c r="E11" s="71" t="str">
        <x:v>I</x:v>
      </x:c>
      <x:c r="F11" s="52" t="str">
        <x:v>Despliegue reproducible</x:v>
      </x:c>
    </x:row>
    <x:row r="12">
      <x:c r="A12" s="51" t="str">
        <x:v>Pruebas y calidad</x:v>
      </x:c>
      <x:c r="B12" s="71" t="str">
        <x:v>C</x:v>
      </x:c>
      <x:c r="C12" s="71" t="str">
        <x:v>R</x:v>
      </x:c>
      <x:c r="D12" s="71" t="str">
        <x:v>A/R</x:v>
      </x:c>
      <x:c r="E12" s="71" t="str">
        <x:v>I</x:v>
      </x:c>
      <x:c r="F12" s="52" t="str">
        <x:v>Todos ejecutan pruebas</x:v>
      </x:c>
    </x:row>
    <x:row r="13">
      <x:c r="A13" s="51" t="str">
        <x:v>Documentación</x:v>
      </x:c>
      <x:c r="B13" s="71" t="str">
        <x:v>A</x:v>
      </x:c>
      <x:c r="C13" s="71" t="str">
        <x:v>R</x:v>
      </x:c>
      <x:c r="D13" s="71" t="str">
        <x:v>R</x:v>
      </x:c>
      <x:c r="E13" s="71" t="str">
        <x:v>C</x:v>
      </x:c>
      <x:c r="F13" s="52" t="str">
        <x:v>Cada autor revisa su sección</x:v>
      </x:c>
    </x:row>
    <x:row r="14">
      <x:c r="A14" s="53" t="str">
        <x:v>Presentación</x:v>
      </x:c>
      <x:c r="B14" s="72" t="str">
        <x:v>R</x:v>
      </x:c>
      <x:c r="C14" s="72" t="str">
        <x:v>R</x:v>
      </x:c>
      <x:c r="D14" s="72" t="str">
        <x:v>R</x:v>
      </x:c>
      <x:c r="E14" s="72" t="str">
        <x:v>A</x:v>
      </x:c>
      <x:c r="F14" s="54" t="str">
        <x:v>Participación equitativa</x:v>
      </x:c>
    </x:row>
    <x:row r="16">
      <x:c r="A16" s="35" t="str">
        <x:v>Código</x:v>
      </x:c>
      <x:c r="B16" s="36" t="str">
        <x:v>Significado</x:v>
      </x:c>
    </x:row>
    <x:row r="17">
      <x:c r="A17" s="49" t="str">
        <x:v>R</x:v>
      </x:c>
      <x:c r="B17" s="50" t="str">
        <x:v>Ejecuta</x:v>
      </x:c>
    </x:row>
    <x:row r="18">
      <x:c r="A18" s="51" t="str">
        <x:v>A</x:v>
      </x:c>
      <x:c r="B18" s="52" t="str">
        <x:v>Responde por el resultado</x:v>
      </x:c>
    </x:row>
    <x:row r="19">
      <x:c r="A19" s="51" t="str">
        <x:v>C</x:v>
      </x:c>
      <x:c r="B19" s="52" t="str">
        <x:v>Es consultado</x:v>
      </x:c>
    </x:row>
    <x:row r="20">
      <x:c r="A20" s="53" t="str">
        <x:v>I</x:v>
      </x:c>
      <x:c r="B20" s="54" t="str">
        <x:v>Es informado</x:v>
      </x:c>
    </x:row>
  </x:sheetData>
  <x:mergeCells>
    <x:mergeCell ref="A1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9" hidden="0" customWidth="1"/>
    <x:col min="4" max="4" width="10" hidden="0" customWidth="1"/>
    <x:col min="5" max="5" width="10" hidden="0" customWidth="1"/>
    <x:col min="6" max="6" width="40" hidden="0" customWidth="1"/>
    <x:col min="7" max="7" width="17" hidden="0" customWidth="1"/>
    <x:col min="8" max="8" width="12" hidden="0" customWidth="1"/>
    <x:col min="9" max="9" width="13" hidden="0" customWidth="1"/>
    <x:col min="10" max="10" width="30" hidden="0" customWidth="1"/>
  </x:cols>
  <x:sheetData>
    <x:row r="1" ht="30" customHeight="1">
      <x:c r="A1" s="4" t="str">
        <x:v>Registro inicial de riesgos</x:v>
      </x:c>
    </x:row>
    <x:row r="2" ht="30" customHeight="1"/>
    <x:row r="4" ht="34" customHeight="1">
      <x:c r="A4" s="35" t="str">
        <x:v>ID</x:v>
      </x:c>
      <x:c r="B4" s="63" t="str">
        <x:v>Riesgo</x:v>
      </x:c>
      <x:c r="C4" s="63" t="str">
        <x:v>Prob.</x:v>
      </x:c>
      <x:c r="D4" s="63" t="str">
        <x:v>Impacto</x:v>
      </x:c>
      <x:c r="E4" s="63" t="str">
        <x:v>Puntaje</x:v>
      </x:c>
      <x:c r="F4" s="63" t="str">
        <x:v>Respuesta</x:v>
      </x:c>
      <x:c r="G4" s="63" t="str">
        <x:v>Responsable</x:v>
      </x:c>
      <x:c r="H4" s="63" t="str">
        <x:v>Nivel</x:v>
      </x:c>
      <x:c r="I4" s="63" t="str">
        <x:v>Estado</x:v>
      </x:c>
      <x:c r="J4" s="36" t="str">
        <x:v>Disparador</x:v>
      </x:c>
    </x:row>
    <x:row r="5">
      <x:c r="A5" s="49" t="str">
        <x:v>R01</x:v>
      </x:c>
      <x:c r="B5" s="70" t="str">
        <x:v>Exceso de alcance</x:v>
      </x:c>
      <x:c r="C5" s="70" t="n">
        <x:v>4</x:v>
      </x:c>
      <x:c r="D5" s="70" t="n">
        <x:v>5</x:v>
      </x:c>
      <x:c r="E5" s="70" t="n">
        <x:f>C5*D5</x:f>
        <x:v>20</x:v>
      </x:c>
      <x:c r="F5" s="70" t="str">
        <x:v>Priorizar MVP y congelar cambios después de S12</x:v>
      </x:c>
      <x:c r="G5" s="70" t="str">
        <x:v>Joel</x:v>
      </x:c>
      <x:c r="H5" s="70" t="str">
        <x:f>IF(E5&gt;=15,"Alto",IF(E5&gt;=8,"Medio","Bajo"))</x:f>
        <x:v>Alto</x:v>
      </x:c>
      <x:c r="I5" s="70" t="str">
        <x:v>Abierto</x:v>
      </x:c>
      <x:c r="J5" s="50" t="str">
        <x:v>Historias nuevas sin reemplazo</x:v>
      </x:c>
    </x:row>
    <x:row r="6">
      <x:c r="A6" s="51" t="str">
        <x:v>R02</x:v>
      </x:c>
      <x:c r="B6" s="71" t="str">
        <x:v>Aprendizaje técnico</x:v>
      </x:c>
      <x:c r="C6" s="71" t="n">
        <x:v>3</x:v>
      </x:c>
      <x:c r="D6" s="71" t="n">
        <x:v>4</x:v>
      </x:c>
      <x:c r="E6" s="71" t="n">
        <x:f>C6*D6</x:f>
        <x:v>12</x:v>
      </x:c>
      <x:c r="F6" s="71" t="str">
        <x:v>Spikes, pares y decisiones tempranas</x:v>
      </x:c>
      <x:c r="G6" s="71" t="str">
        <x:v>Equipo</x:v>
      </x:c>
      <x:c r="H6" s="71" t="str">
        <x:f>IF(E6&gt;=15,"Alto",IF(E6&gt;=8,"Medio","Bajo"))</x:f>
        <x:v>Medio</x:v>
      </x:c>
      <x:c r="I6" s="71" t="str">
        <x:v>Abierto</x:v>
      </x:c>
      <x:c r="J6" s="52" t="str">
        <x:v>Tarea bloqueada &gt; 2 días</x:v>
      </x:c>
    </x:row>
    <x:row r="7">
      <x:c r="A7" s="51" t="str">
        <x:v>R03</x:v>
      </x:c>
      <x:c r="B7" s="71" t="str">
        <x:v>Costo o límite de IA</x:v>
      </x:c>
      <x:c r="C7" s="71" t="n">
        <x:v>3</x:v>
      </x:c>
      <x:c r="D7" s="71" t="n">
        <x:v>4</x:v>
      </x:c>
      <x:c r="E7" s="71" t="n">
        <x:f>C7*D7</x:f>
        <x:v>12</x:v>
      </x:c>
      <x:c r="F7" s="71" t="str">
        <x:v>Adaptador, cuotas y respuestas simuladas</x:v>
      </x:c>
      <x:c r="G7" s="71" t="str">
        <x:v>Matías</x:v>
      </x:c>
      <x:c r="H7" s="71" t="str">
        <x:f>IF(E7&gt;=15,"Alto",IF(E7&gt;=8,"Medio","Bajo"))</x:f>
        <x:v>Medio</x:v>
      </x:c>
      <x:c r="I7" s="71" t="str">
        <x:v>Abierto</x:v>
      </x:c>
      <x:c r="J7" s="52" t="str">
        <x:v>Consumo sobre presupuesto</x:v>
      </x:c>
    </x:row>
    <x:row r="8">
      <x:c r="A8" s="51" t="str">
        <x:v>R04</x:v>
      </x:c>
      <x:c r="B8" s="71" t="str">
        <x:v>Privacidad de datos</x:v>
      </x:c>
      <x:c r="C8" s="71" t="n">
        <x:v>3</x:v>
      </x:c>
      <x:c r="D8" s="71" t="n">
        <x:v>5</x:v>
      </x:c>
      <x:c r="E8" s="71" t="n">
        <x:f>C8*D8</x:f>
        <x:v>15</x:v>
      </x:c>
      <x:c r="F8" s="71" t="str">
        <x:v>Datos sintéticos, minimización y consentimiento</x:v>
      </x:c>
      <x:c r="G8" s="71" t="str">
        <x:v>Matías</x:v>
      </x:c>
      <x:c r="H8" s="71" t="str">
        <x:f>IF(E8&gt;=15,"Alto",IF(E8&gt;=8,"Medio","Bajo"))</x:f>
        <x:v>Alto</x:v>
      </x:c>
      <x:c r="I8" s="71" t="str">
        <x:v>Abierto</x:v>
      </x:c>
      <x:c r="J8" s="52" t="str">
        <x:v>Dato personal no autorizado</x:v>
      </x:c>
    </x:row>
    <x:row r="9">
      <x:c r="A9" s="51" t="str">
        <x:v>R05</x:v>
      </x:c>
      <x:c r="B9" s="71" t="str">
        <x:v>Integración tardía</x:v>
      </x:c>
      <x:c r="C9" s="71" t="n">
        <x:v>4</x:v>
      </x:c>
      <x:c r="D9" s="71" t="n">
        <x:v>4</x:v>
      </x:c>
      <x:c r="E9" s="71" t="n">
        <x:f>C9*D9</x:f>
        <x:v>16</x:v>
      </x:c>
      <x:c r="F9" s="71" t="str">
        <x:v>Contratos API y demo integrada desde S6</x:v>
      </x:c>
      <x:c r="G9" s="71" t="str">
        <x:v>Joel</x:v>
      </x:c>
      <x:c r="H9" s="71" t="str">
        <x:f>IF(E9&gt;=15,"Alto",IF(E9&gt;=8,"Medio","Bajo"))</x:f>
        <x:v>Alto</x:v>
      </x:c>
      <x:c r="I9" s="71" t="str">
        <x:v>Abierto</x:v>
      </x:c>
      <x:c r="J9" s="52" t="str">
        <x:v>Componentes sin entorno común</x:v>
      </x:c>
    </x:row>
    <x:row r="10">
      <x:c r="A10" s="51" t="str">
        <x:v>R06</x:v>
      </x:c>
      <x:c r="B10" s="71" t="str">
        <x:v>Baja disponibilidad del equipo</x:v>
      </x:c>
      <x:c r="C10" s="71" t="n">
        <x:v>3</x:v>
      </x:c>
      <x:c r="D10" s="71" t="n">
        <x:v>4</x:v>
      </x:c>
      <x:c r="E10" s="71" t="n">
        <x:f>C10*D10</x:f>
        <x:v>12</x:v>
      </x:c>
      <x:c r="F10" s="71" t="str">
        <x:v>Capacidad explícita, pares y documentación</x:v>
      </x:c>
      <x:c r="G10" s="71" t="str">
        <x:v>Agustín</x:v>
      </x:c>
      <x:c r="H10" s="71" t="str">
        <x:f>IF(E10&gt;=15,"Alto",IF(E10&gt;=8,"Medio","Bajo"))</x:f>
        <x:v>Medio</x:v>
      </x:c>
      <x:c r="I10" s="71" t="str">
        <x:v>Abierto</x:v>
      </x:c>
      <x:c r="J10" s="52" t="str">
        <x:v>Ausencia o atraso reiterado</x:v>
      </x:c>
    </x:row>
    <x:row r="11">
      <x:c r="A11" s="51" t="str">
        <x:v>R07</x:v>
      </x:c>
      <x:c r="B11" s="71" t="str">
        <x:v>Capacidad insuficiente VPS</x:v>
      </x:c>
      <x:c r="C11" s="71" t="n">
        <x:v>2</x:v>
      </x:c>
      <x:c r="D11" s="71" t="n">
        <x:v>4</x:v>
      </x:c>
      <x:c r="E11" s="71" t="n">
        <x:f>C11*D11</x:f>
        <x:v>8</x:v>
      </x:c>
      <x:c r="F11" s="71" t="str">
        <x:v>Medición, límites y servicios externos</x:v>
      </x:c>
      <x:c r="G11" s="71" t="str">
        <x:v>Joel</x:v>
      </x:c>
      <x:c r="H11" s="71" t="str">
        <x:f>IF(E11&gt;=15,"Alto",IF(E11&gt;=8,"Medio","Bajo"))</x:f>
        <x:v>Medio</x:v>
      </x:c>
      <x:c r="I11" s="71" t="str">
        <x:v>Abierto</x:v>
      </x:c>
      <x:c r="J11" s="52" t="str">
        <x:v>CPU/RAM sobre umbral</x:v>
      </x:c>
    </x:row>
    <x:row r="12">
      <x:c r="A12" s="51" t="str">
        <x:v>R08</x:v>
      </x:c>
      <x:c r="B12" s="71" t="str">
        <x:v>Alucinaciones del agente</x:v>
      </x:c>
      <x:c r="C12" s="71" t="n">
        <x:v>3</x:v>
      </x:c>
      <x:c r="D12" s="71" t="n">
        <x:v>5</x:v>
      </x:c>
      <x:c r="E12" s="71" t="n">
        <x:f>C12*D12</x:f>
        <x:v>15</x:v>
      </x:c>
      <x:c r="F12" s="71" t="str">
        <x:v>RAG acotado, citas, negativas y derivación</x:v>
      </x:c>
      <x:c r="G12" s="71" t="str">
        <x:v>Matías</x:v>
      </x:c>
      <x:c r="H12" s="71" t="str">
        <x:f>IF(E12&gt;=15,"Alto",IF(E12&gt;=8,"Medio","Bajo"))</x:f>
        <x:v>Alto</x:v>
      </x:c>
      <x:c r="I12" s="71" t="str">
        <x:v>Abierto</x:v>
      </x:c>
      <x:c r="J12" s="52" t="str">
        <x:v>Respuesta no respaldada</x:v>
      </x:c>
    </x:row>
    <x:row r="13">
      <x:c r="A13" s="51" t="str">
        <x:v>R09</x:v>
      </x:c>
      <x:c r="B13" s="71" t="str">
        <x:v>Pérdida de información</x:v>
      </x:c>
      <x:c r="C13" s="71" t="n">
        <x:v>2</x:v>
      </x:c>
      <x:c r="D13" s="71" t="n">
        <x:v>5</x:v>
      </x:c>
      <x:c r="E13" s="71" t="n">
        <x:f>C13*D13</x:f>
        <x:v>10</x:v>
      </x:c>
      <x:c r="F13" s="71" t="str">
        <x:v>Backups y prueba de restauración</x:v>
      </x:c>
      <x:c r="G13" s="71" t="str">
        <x:v>Joel</x:v>
      </x:c>
      <x:c r="H13" s="71" t="str">
        <x:f>IF(E13&gt;=15,"Alto",IF(E13&gt;=8,"Medio","Bajo"))</x:f>
        <x:v>Medio</x:v>
      </x:c>
      <x:c r="I13" s="71" t="str">
        <x:v>Abierto</x:v>
      </x:c>
      <x:c r="J13" s="52" t="str">
        <x:v>Falla de volumen o BD</x:v>
      </x:c>
    </x:row>
    <x:row r="14">
      <x:c r="A14" s="53" t="str">
        <x:v>R10</x:v>
      </x:c>
      <x:c r="B14" s="72" t="str">
        <x:v>Déficit de evidencia individual</x:v>
      </x:c>
      <x:c r="C14" s="72" t="n">
        <x:v>3</x:v>
      </x:c>
      <x:c r="D14" s="72" t="n">
        <x:v>5</x:v>
      </x:c>
      <x:c r="E14" s="72" t="n">
        <x:f>C14*D14</x:f>
        <x:v>15</x:v>
      </x:c>
      <x:c r="F14" s="72" t="str">
        <x:v>PR, commits, reviews y bitácora por integrante</x:v>
      </x:c>
      <x:c r="G14" s="72" t="str">
        <x:v>Agustín</x:v>
      </x:c>
      <x:c r="H14" s="72" t="str">
        <x:f>IF(E14&gt;=15,"Alto",IF(E14&gt;=8,"Medio","Bajo"))</x:f>
        <x:v>Alto</x:v>
      </x:c>
      <x:c r="I14" s="72" t="str">
        <x:v>Abierto</x:v>
      </x:c>
      <x:c r="J14" s="54" t="str">
        <x:v>Contribución no demostrable</x:v>
      </x:c>
    </x:row>
  </x:sheetData>
  <x:mergeCells>
    <x:mergeCell ref="A1:J2"/>
  </x:mergeCells>
  <x:conditionalFormatting sqref="H5:H14">
    <x:cfRule type="containsText" dxfId="6" priority="1" operator="containsText" text="Alto"/>
    <x:cfRule type="containsText" dxfId="7" priority="2" operator="containsText" text="Medio"/>
    <x:cfRule type="containsText" dxfId="8" priority="3" operator="containsText" text="Bajo"/>
  </x:conditionalFormatting>
  <x:dataValidations count="1">
    <x:dataValidation type="whole" operator="between" sqref="C5:D14">
      <x:formula1>1</x:formula1>
      <x:formula2>5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42" hidden="0" customWidth="1"/>
    <x:col min="4" max="4" width="9" hidden="0" customWidth="1"/>
    <x:col min="5" max="5" width="9" hidden="0" customWidth="1"/>
    <x:col min="6" max="6" width="10" hidden="0" customWidth="1"/>
    <x:col min="7" max="7" width="12" hidden="0" customWidth="1"/>
    <x:col min="8" max="8" width="11" hidden="0" customWidth="1"/>
    <x:col min="9" max="9" width="14" hidden="0" customWidth="1"/>
    <x:col min="10" max="10" width="44" hidden="0" customWidth="1"/>
  </x:cols>
  <x:sheetData>
    <x:row r="1" ht="30" customHeight="1">
      <x:c r="A1" s="4" t="str">
        <x:v>Product Backlog inicial del MVP</x:v>
      </x:c>
    </x:row>
    <x:row r="2" ht="30" customHeight="1"/>
    <x:row r="4" ht="34" customHeight="1">
      <x:c r="A4" s="35" t="str">
        <x:v>ID</x:v>
      </x:c>
      <x:c r="B4" s="63" t="str">
        <x:v>Épica</x:v>
      </x:c>
      <x:c r="C4" s="63" t="str">
        <x:v>Historia</x:v>
      </x:c>
      <x:c r="D4" s="63" t="str">
        <x:v>Valor</x:v>
      </x:c>
      <x:c r="E4" s="63" t="str">
        <x:v>Riesgo</x:v>
      </x:c>
      <x:c r="F4" s="63" t="str">
        <x:v>Puntos</x:v>
      </x:c>
      <x:c r="G4" s="63" t="str">
        <x:v>Prioridad</x:v>
      </x:c>
      <x:c r="H4" s="63" t="str">
        <x:v>Sprint</x:v>
      </x:c>
      <x:c r="I4" s="63" t="str">
        <x:v>Estado</x:v>
      </x:c>
      <x:c r="J4" s="36" t="str">
        <x:v>Criterio de aceptación resumido</x:v>
      </x:c>
    </x:row>
    <x:row r="5">
      <x:c r="A5" s="49" t="str">
        <x:v>US01</x:v>
      </x:c>
      <x:c r="B5" s="70" t="str">
        <x:v>Acceso</x:v>
      </x:c>
      <x:c r="C5" s="70" t="str">
        <x:v>Como usuario autorizado quiero iniciar sesión</x:v>
      </x:c>
      <x:c r="D5" s="70" t="n">
        <x:v>5</x:v>
      </x:c>
      <x:c r="E5" s="70" t="n">
        <x:v>4</x:v>
      </x:c>
      <x:c r="F5" s="70" t="n">
        <x:v>5</x:v>
      </x:c>
      <x:c r="G5" s="70" t="str">
        <x:v>Must</x:v>
      </x:c>
      <x:c r="H5" s="70" t="str">
        <x:v>S3</x:v>
      </x:c>
      <x:c r="I5" s="70" t="str">
        <x:v>Pendiente</x:v>
      </x:c>
      <x:c r="J5" s="50" t="str">
        <x:v>Acceso válido, rechazo seguro y auditoría</x:v>
      </x:c>
    </x:row>
    <x:row r="6">
      <x:c r="A6" s="51" t="str">
        <x:v>US02</x:v>
      </x:c>
      <x:c r="B6" s="71" t="str">
        <x:v>Propiedades</x:v>
      </x:c>
      <x:c r="C6" s="71" t="str">
        <x:v>Como corredor quiero registrar una propiedad</x:v>
      </x:c>
      <x:c r="D6" s="71" t="n">
        <x:v>5</x:v>
      </x:c>
      <x:c r="E6" s="71" t="n">
        <x:v>3</x:v>
      </x:c>
      <x:c r="F6" s="71" t="n">
        <x:v>8</x:v>
      </x:c>
      <x:c r="G6" s="71" t="str">
        <x:v>Must</x:v>
      </x:c>
      <x:c r="H6" s="71" t="str">
        <x:v>S4</x:v>
      </x:c>
      <x:c r="I6" s="71" t="str">
        <x:v>Pendiente</x:v>
      </x:c>
      <x:c r="J6" s="52" t="str">
        <x:v>Datos obligatorios y estado inicial</x:v>
      </x:c>
    </x:row>
    <x:row r="7">
      <x:c r="A7" s="51" t="str">
        <x:v>US03</x:v>
      </x:c>
      <x:c r="B7" s="71" t="str">
        <x:v>Propiedades</x:v>
      </x:c>
      <x:c r="C7" s="71" t="str">
        <x:v>Como corredor quiero publicar o retirar una propiedad</x:v>
      </x:c>
      <x:c r="D7" s="71" t="n">
        <x:v>5</x:v>
      </x:c>
      <x:c r="E7" s="71" t="n">
        <x:v>4</x:v>
      </x:c>
      <x:c r="F7" s="71" t="n">
        <x:v>8</x:v>
      </x:c>
      <x:c r="G7" s="71" t="str">
        <x:v>Must</x:v>
      </x:c>
      <x:c r="H7" s="71" t="str">
        <x:v>S4</x:v>
      </x:c>
      <x:c r="I7" s="71" t="str">
        <x:v>Pendiente</x:v>
      </x:c>
      <x:c r="J7" s="52" t="str">
        <x:v>Solo registros completos aparecen en vitrina</x:v>
      </x:c>
    </x:row>
    <x:row r="8">
      <x:c r="A8" s="51" t="str">
        <x:v>US04</x:v>
      </x:c>
      <x:c r="B8" s="71" t="str">
        <x:v>CRM</x:v>
      </x:c>
      <x:c r="C8" s="71" t="str">
        <x:v>Como corredor quiero registrar contactos</x:v>
      </x:c>
      <x:c r="D8" s="71" t="n">
        <x:v>5</x:v>
      </x:c>
      <x:c r="E8" s="71" t="n">
        <x:v>3</x:v>
      </x:c>
      <x:c r="F8" s="71" t="n">
        <x:v>5</x:v>
      </x:c>
      <x:c r="G8" s="71" t="str">
        <x:v>Must</x:v>
      </x:c>
      <x:c r="H8" s="71" t="str">
        <x:v>S5</x:v>
      </x:c>
      <x:c r="I8" s="71" t="str">
        <x:v>Pendiente</x:v>
      </x:c>
      <x:c r="J8" s="52" t="str">
        <x:v>Evita duplicados y registra consentimiento</x:v>
      </x:c>
    </x:row>
    <x:row r="9">
      <x:c r="A9" s="51" t="str">
        <x:v>US05</x:v>
      </x:c>
      <x:c r="B9" s="71" t="str">
        <x:v>CRM</x:v>
      </x:c>
      <x:c r="C9" s="71" t="str">
        <x:v>Como corredor quiero gestionar oportunidades</x:v>
      </x:c>
      <x:c r="D9" s="71" t="n">
        <x:v>5</x:v>
      </x:c>
      <x:c r="E9" s="71" t="n">
        <x:v>3</x:v>
      </x:c>
      <x:c r="F9" s="71" t="n">
        <x:v>8</x:v>
      </x:c>
      <x:c r="G9" s="71" t="str">
        <x:v>Must</x:v>
      </x:c>
      <x:c r="H9" s="71" t="str">
        <x:v>S5</x:v>
      </x:c>
      <x:c r="I9" s="71" t="str">
        <x:v>Pendiente</x:v>
      </x:c>
      <x:c r="J9" s="52" t="str">
        <x:v>Etapa, responsable, valor y actividad</x:v>
      </x:c>
    </x:row>
    <x:row r="10">
      <x:c r="A10" s="51" t="str">
        <x:v>US06</x:v>
      </x:c>
      <x:c r="B10" s="71" t="str">
        <x:v>Vitrina</x:v>
      </x:c>
      <x:c r="C10" s="71" t="str">
        <x:v>Como visitante quiero buscar propiedades</x:v>
      </x:c>
      <x:c r="D10" s="71" t="n">
        <x:v>5</x:v>
      </x:c>
      <x:c r="E10" s="71" t="n">
        <x:v>3</x:v>
      </x:c>
      <x:c r="F10" s="71" t="n">
        <x:v>8</x:v>
      </x:c>
      <x:c r="G10" s="71" t="str">
        <x:v>Must</x:v>
      </x:c>
      <x:c r="H10" s="71" t="str">
        <x:v>S5</x:v>
      </x:c>
      <x:c r="I10" s="71" t="str">
        <x:v>Pendiente</x:v>
      </x:c>
      <x:c r="J10" s="52" t="str">
        <x:v>Filtros esenciales y solo oferta vigente</x:v>
      </x:c>
    </x:row>
    <x:row r="11">
      <x:c r="A11" s="51" t="str">
        <x:v>US07</x:v>
      </x:c>
      <x:c r="B11" s="71" t="str">
        <x:v>Consultas</x:v>
      </x:c>
      <x:c r="C11" s="71" t="str">
        <x:v>Como visitante quiero enviar una consulta</x:v>
      </x:c>
      <x:c r="D11" s="71" t="n">
        <x:v>5</x:v>
      </x:c>
      <x:c r="E11" s="71" t="n">
        <x:v>4</x:v>
      </x:c>
      <x:c r="F11" s="71" t="n">
        <x:v>5</x:v>
      </x:c>
      <x:c r="G11" s="71" t="str">
        <x:v>Must</x:v>
      </x:c>
      <x:c r="H11" s="71" t="str">
        <x:v>S5</x:v>
      </x:c>
      <x:c r="I11" s="71" t="str">
        <x:v>Pendiente</x:v>
      </x:c>
      <x:c r="J11" s="52" t="str">
        <x:v>Crea contacto/oportunidad y confirma recepción</x:v>
      </x:c>
    </x:row>
    <x:row r="12">
      <x:c r="A12" s="51" t="str">
        <x:v>US08</x:v>
      </x:c>
      <x:c r="B12" s="71" t="str">
        <x:v>IA</x:v>
      </x:c>
      <x:c r="C12" s="71" t="str">
        <x:v>Como visitante quiero consultar propiedades mediante IA</x:v>
      </x:c>
      <x:c r="D12" s="71" t="n">
        <x:v>4</x:v>
      </x:c>
      <x:c r="E12" s="71" t="n">
        <x:v>5</x:v>
      </x:c>
      <x:c r="F12" s="71" t="n">
        <x:v>13</x:v>
      </x:c>
      <x:c r="G12" s="71" t="str">
        <x:v>Should</x:v>
      </x:c>
      <x:c r="H12" s="71" t="str">
        <x:v>S6</x:v>
      </x:c>
      <x:c r="I12" s="71" t="str">
        <x:v>Pendiente</x:v>
      </x:c>
      <x:c r="J12" s="52" t="str">
        <x:v>Responde con datos autorizados y trazables</x:v>
      </x:c>
    </x:row>
    <x:row r="13">
      <x:c r="A13" s="51" t="str">
        <x:v>US09</x:v>
      </x:c>
      <x:c r="B13" s="71" t="str">
        <x:v>IA</x:v>
      </x:c>
      <x:c r="C13" s="71" t="str">
        <x:v>Como usuario quiero solicitar atención humana</x:v>
      </x:c>
      <x:c r="D13" s="71" t="n">
        <x:v>5</x:v>
      </x:c>
      <x:c r="E13" s="71" t="n">
        <x:v>4</x:v>
      </x:c>
      <x:c r="F13" s="71" t="n">
        <x:v>5</x:v>
      </x:c>
      <x:c r="G13" s="71" t="str">
        <x:v>Must</x:v>
      </x:c>
      <x:c r="H13" s="71" t="str">
        <x:v>S6</x:v>
      </x:c>
      <x:c r="I13" s="71" t="str">
        <x:v>Pendiente</x:v>
      </x:c>
      <x:c r="J13" s="52" t="str">
        <x:v>Deriva contexto sin perder conversación</x:v>
      </x:c>
    </x:row>
    <x:row r="14">
      <x:c r="A14" s="51" t="str">
        <x:v>US10</x:v>
      </x:c>
      <x:c r="B14" s="71" t="str">
        <x:v>Auditoría</x:v>
      </x:c>
      <x:c r="C14" s="71" t="str">
        <x:v>Como administrador quiero consultar eventos críticos</x:v>
      </x:c>
      <x:c r="D14" s="71" t="n">
        <x:v>4</x:v>
      </x:c>
      <x:c r="E14" s="71" t="n">
        <x:v>4</x:v>
      </x:c>
      <x:c r="F14" s="71" t="n">
        <x:v>8</x:v>
      </x:c>
      <x:c r="G14" s="71" t="str">
        <x:v>Must</x:v>
      </x:c>
      <x:c r="H14" s="71" t="str">
        <x:v>S7</x:v>
      </x:c>
      <x:c r="I14" s="71" t="str">
        <x:v>Pendiente</x:v>
      </x:c>
      <x:c r="J14" s="52" t="str">
        <x:v>Actor, acción, fecha y objeto trazables</x:v>
      </x:c>
    </x:row>
    <x:row r="15">
      <x:c r="A15" s="51" t="str">
        <x:v>US11</x:v>
      </x:c>
      <x:c r="B15" s="71" t="str">
        <x:v>Operación</x:v>
      </x:c>
      <x:c r="C15" s="71" t="str">
        <x:v>Como operador quiero respaldar y restaurar</x:v>
      </x:c>
      <x:c r="D15" s="71" t="n">
        <x:v>5</x:v>
      </x:c>
      <x:c r="E15" s="71" t="n">
        <x:v>5</x:v>
      </x:c>
      <x:c r="F15" s="71" t="n">
        <x:v>8</x:v>
      </x:c>
      <x:c r="G15" s="71" t="str">
        <x:v>Must</x:v>
      </x:c>
      <x:c r="H15" s="71" t="str">
        <x:v>S7</x:v>
      </x:c>
      <x:c r="I15" s="71" t="str">
        <x:v>Pendiente</x:v>
      </x:c>
      <x:c r="J15" s="52" t="str">
        <x:v>Restauración ensayada y documentada</x:v>
      </x:c>
    </x:row>
    <x:row r="16">
      <x:c r="A16" s="53" t="str">
        <x:v>US12</x:v>
      </x:c>
      <x:c r="B16" s="72" t="str">
        <x:v>Calidad</x:v>
      </x:c>
      <x:c r="C16" s="72" t="str">
        <x:v>Como equipo quiero ejecutar pruebas automáticas</x:v>
      </x:c>
      <x:c r="D16" s="72" t="n">
        <x:v>5</x:v>
      </x:c>
      <x:c r="E16" s="72" t="n">
        <x:v>4</x:v>
      </x:c>
      <x:c r="F16" s="72" t="n">
        <x:v>8</x:v>
      </x:c>
      <x:c r="G16" s="72" t="str">
        <x:v>Must</x:v>
      </x:c>
      <x:c r="H16" s="72" t="str">
        <x:v>S3-S7</x:v>
      </x:c>
      <x:c r="I16" s="72" t="str">
        <x:v>Pendiente</x:v>
      </x:c>
      <x:c r="J16" s="54" t="str">
        <x:v>CI bloquea defectos críticos</x:v>
      </x:c>
    </x:row>
  </x:sheetData>
  <x:mergeCells>
    <x:mergeCell ref="A1:J2"/>
  </x:mergeCells>
  <x:dataValidations count="2">
    <x:dataValidation type="list" sqref="G5:G30">
      <x:formula1>"Must,Should,Could,Won't"</x:formula1>
    </x:dataValidation>
    <x:dataValidation type="list" sqref="I5:I30">
      <x:formula1>"Pendiente,En curso,Bloqueado,Completado"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0" hidden="0" customWidth="1"/>
    <x:col min="3" max="3" width="20" hidden="0" customWidth="1"/>
    <x:col min="4" max="4" width="17" hidden="0" customWidth="1"/>
    <x:col min="5" max="5" width="15" hidden="0" customWidth="1"/>
    <x:col min="6" max="6" width="40" hidden="0" customWidth="1"/>
  </x:cols>
  <x:sheetData>
    <x:row r="1" ht="30" customHeight="1">
      <x:c r="A1" s="4" t="str">
        <x:v>Validaciones requeridas antes de la entrega</x:v>
      </x:c>
    </x:row>
    <x:row r="2" ht="30" customHeight="1"/>
    <x:row r="4" ht="34" customHeight="1">
      <x:c r="A4" s="35" t="str">
        <x:v>ID</x:v>
      </x:c>
      <x:c r="B4" s="63" t="str">
        <x:v>Decisión / dato</x:v>
      </x:c>
      <x:c r="C4" s="63" t="str">
        <x:v>Responsable</x:v>
      </x:c>
      <x:c r="D4" s="63" t="str">
        <x:v>Fecha objetivo</x:v>
      </x:c>
      <x:c r="E4" s="63" t="str">
        <x:v>Estado</x:v>
      </x:c>
      <x:c r="F4" s="36" t="str">
        <x:v>Observación</x:v>
      </x:c>
    </x:row>
    <x:row r="5">
      <x:c r="A5" s="49" t="str">
        <x:v>V01</x:v>
      </x:c>
      <x:c r="B5" s="70" t="str">
        <x:v>Completar RUT de cada integrante</x:v>
      </x:c>
      <x:c r="C5" s="70" t="str">
        <x:v>Cada integrante</x:v>
      </x:c>
      <x:c r="D5" s="70" t="str">
        <x:v>Antes de entregar</x:v>
      </x:c>
      <x:c r="E5" s="70" t="str">
        <x:v>Pendiente</x:v>
      </x:c>
      <x:c r="F5" s="50" t="str">
        <x:v>No incluir en repositorio público sin necesidad</x:v>
      </x:c>
    </x:row>
    <x:row r="6">
      <x:c r="A6" s="51" t="str">
        <x:v>V02</x:v>
      </x:c>
      <x:c r="B6" s="71" t="str">
        <x:v>Completar autoevaluación y diario individual</x:v>
      </x:c>
      <x:c r="C6" s="71" t="str">
        <x:v>Cada integrante</x:v>
      </x:c>
      <x:c r="D6" s="71" t="str">
        <x:v>Semana 2</x:v>
      </x:c>
      <x:c r="E6" s="71" t="str">
        <x:v>Pendiente</x:v>
      </x:c>
      <x:c r="F6" s="52" t="str">
        <x:v>Debe reflejar experiencia real</x:v>
      </x:c>
    </x:row>
    <x:row r="7">
      <x:c r="A7" s="51" t="str">
        <x:v>V03</x:v>
      </x:c>
      <x:c r="B7" s="71" t="str">
        <x:v>Redactar conclusión y reflexión en inglés</x:v>
      </x:c>
      <x:c r="C7" s="71" t="str">
        <x:v>Cada integrante</x:v>
      </x:c>
      <x:c r="D7" s="71" t="str">
        <x:v>Semana 4</x:v>
      </x:c>
      <x:c r="E7" s="71" t="str">
        <x:v>Pendiente</x:v>
      </x:c>
      <x:c r="F7" s="52" t="str">
        <x:v>Revisar y personalizar</x:v>
      </x:c>
    </x:row>
    <x:row r="8">
      <x:c r="A8" s="51" t="str">
        <x:v>V04</x:v>
      </x:c>
      <x:c r="B8" s="71" t="str">
        <x:v>Aprobar escenario simulado</x:v>
      </x:c>
      <x:c r="C8" s="71" t="str">
        <x:v>Docente</x:v>
      </x:c>
      <x:c r="D8" s="71" t="str">
        <x:v>Semana 2</x:v>
      </x:c>
      <x:c r="E8" s="71" t="str">
        <x:v>Pendiente</x:v>
      </x:c>
      <x:c r="F8" s="52" t="str">
        <x:v>Corredora Metropolitana SpA</x:v>
      </x:c>
    </x:row>
    <x:row r="9">
      <x:c r="A9" s="51" t="str">
        <x:v>V05</x:v>
      </x:c>
      <x:c r="B9" s="71" t="str">
        <x:v>Aprobar evidencias de avance y final</x:v>
      </x:c>
      <x:c r="C9" s="71" t="str">
        <x:v>Docente</x:v>
      </x:c>
      <x:c r="D9" s="71" t="str">
        <x:v>Semana 3</x:v>
      </x:c>
      <x:c r="E9" s="71" t="str">
        <x:v>Pendiente</x:v>
      </x:c>
      <x:c r="F9" s="52" t="str">
        <x:v>Actualizar hoja Evidencias</x:v>
      </x:c>
    </x:row>
    <x:row r="10">
      <x:c r="A10" s="51" t="str">
        <x:v>V06</x:v>
      </x:c>
      <x:c r="B10" s="71" t="str">
        <x:v>Confirmar pauta sumativa faltante</x:v>
      </x:c>
      <x:c r="C10" s="71" t="str">
        <x:v>Docente</x:v>
      </x:c>
      <x:c r="D10" s="71" t="str">
        <x:v>Semana 2</x:v>
      </x:c>
      <x:c r="E10" s="71" t="str">
        <x:v>Pendiente</x:v>
      </x:c>
      <x:c r="F10" s="52" t="str">
        <x:v>Cronograma menciona un DOCX no recibido</x:v>
      </x:c>
    </x:row>
    <x:row r="11">
      <x:c r="A11" s="51" t="str">
        <x:v>V07</x:v>
      </x:c>
      <x:c r="B11" s="71" t="str">
        <x:v>Validar competencias de malla 2023</x:v>
      </x:c>
      <x:c r="C11" s="71" t="str">
        <x:v>Docente/equipo</x:v>
      </x:c>
      <x:c r="D11" s="71" t="str">
        <x:v>Semana 2</x:v>
      </x:c>
      <x:c r="E11" s="71" t="str">
        <x:v>Pendiente</x:v>
      </x:c>
      <x:c r="F11" s="52" t="str">
        <x:v>Ajustar códigos y redacción</x:v>
      </x:c>
    </x:row>
    <x:row r="12">
      <x:c r="A12" s="53" t="str">
        <x:v>V08</x:v>
      </x:c>
      <x:c r="B12" s="72" t="str">
        <x:v>Confirmar tecnología/proveedor IA</x:v>
      </x:c>
      <x:c r="C12" s="72" t="str">
        <x:v>Equipo</x:v>
      </x:c>
      <x:c r="D12" s="72" t="str">
        <x:v>Semana 5</x:v>
      </x:c>
      <x:c r="E12" s="72" t="str">
        <x:v>Pendiente</x:v>
      </x:c>
      <x:c r="F12" s="54" t="str">
        <x:v>Evaluar costo, privacidad y VPS</x:v>
      </x:c>
    </x:row>
  </x:sheetData>
  <x:mergeCells>
    <x:mergeCell ref="A1:F2"/>
  </x:mergeCells>
  <x:dataValidations count="1">
    <x:dataValidation type="list" sqref="E5:E20">
      <x:formula1>"Pendiente,En revisión,Aprobado,Descartado"</x:formula1>
    </x:dataValidation>
  </x:dataValidations>
  <x:pageMargins left="0.7" right="0.7" top="0.75" bottom="0.75" header="0.3" footer="0.3"/>
</x:worksheet>
</file>
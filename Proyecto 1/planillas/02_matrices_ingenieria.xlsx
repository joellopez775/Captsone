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a587cd20f4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d627422b3a94ea6"/>
    <x:sheet xmlns:r="http://schemas.openxmlformats.org/officeDocument/2006/relationships" name="Requisitos" sheetId="2" r:id="R6126e1c57a1b4832"/>
    <x:sheet xmlns:r="http://schemas.openxmlformats.org/officeDocument/2006/relationships" name="Riesgos" sheetId="3" r:id="R8f5858139ad3440a"/>
    <x:sheet xmlns:r="http://schemas.openxmlformats.org/officeDocument/2006/relationships" name="Decisiones" sheetId="4" r:id="R094c5decba6f4371"/>
    <x:sheet xmlns:r="http://schemas.openxmlformats.org/officeDocument/2006/relationships" name="Actores" sheetId="5" r:id="Rdb24033174e943fd"/>
    <x:sheet xmlns:r="http://schemas.openxmlformats.org/officeDocument/2006/relationships" name="Trazabilidad" sheetId="6" r:id="R5311d29c0c44439c"/>
    <x:sheet xmlns:r="http://schemas.openxmlformats.org/officeDocument/2006/relationships" name="Catálogos" sheetId="7" r:id="Ra34cbc10688745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sz val="10"/>
      <x:color rgb="FF1D2939"/>
      <x:name val="Carlito"/>
    </x:font>
    <x:font>
      <x:b/>
      <x:sz val="10"/>
      <x:color rgb="FFFFFFFF"/>
      <x:name val="Carlito"/>
    </x:font>
    <x:font>
      <x:b/>
      <x:sz val="20"/>
      <x:color rgb="FF17324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6F1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12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/>
    <x:xf numFmtId="0" fontId="0" fillId="4" borderId="7" xfId="0" applyNumberFormat="1" applyFont="1" applyFill="1" applyBorder="1"/>
    <x:xf numFmtId="0" fontId="3" fillId="4" borderId="7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8" xfId="0" applyNumberFormat="1" applyFont="1" applyFill="1" applyBorder="1" applyAlignment="1">
      <x:alignment horizontal="center"/>
    </x:xf>
    <x:xf numFmtId="0" fontId="6" fillId="3" borderId="9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 applyAlignment="1">
      <x:alignment horizontal="center"/>
    </x:xf>
    <x:xf numFmtId="0" fontId="6" fillId="3" borderId="11" xfId="0" applyNumberFormat="1" applyFont="1" applyFill="1" applyBorder="1" applyAlignment="1">
      <x:alignment horizontal="center"/>
    </x:xf>
    <x:xf numFmtId="0" fontId="6" fillId="3" borderId="8" xfId="0" applyNumberFormat="1" applyFont="1" applyFill="1" applyBorder="1" applyAlignment="1">
      <x:alignment horizontal="center" vertical="center"/>
    </x:xf>
    <x:xf numFmtId="0" fontId="6" fillId="3" borderId="9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6" fillId="3" borderId="1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8" xfId="0" applyNumberFormat="1" applyFont="1" applyFill="1" applyBorder="1" applyAlignment="1">
      <x:alignment horizontal="center"/>
    </x:xf>
    <x:xf numFmtId="0" fontId="6" fillId="5" borderId="9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11" xfId="0" applyNumberFormat="1" applyFont="1" applyFill="1" applyBorder="1" applyAlignment="1">
      <x:alignment horizontal="center"/>
    </x:xf>
    <x:xf numFmtId="0" fontId="6" fillId="5" borderId="8" xfId="0" applyNumberFormat="1" applyFont="1" applyFill="1" applyBorder="1" applyAlignment="1">
      <x:alignment horizontal="center" vertical="center"/>
    </x:xf>
    <x:xf numFmtId="0" fontId="6" fillId="5" borderId="9" xfId="0" applyNumberFormat="1" applyFont="1" applyFill="1" applyBorder="1" applyAlignment="1">
      <x:alignment horizontal="center" vertical="center"/>
    </x:xf>
    <x:xf numFmtId="0" fontId="6" fillId="5" borderId="10" xfId="0" applyNumberFormat="1" applyFont="1" applyFill="1" applyBorder="1" applyAlignment="1">
      <x:alignment horizontal="center" vertical="center"/>
    </x:xf>
    <x:xf numFmtId="0" fontId="6" fillId="5" borderId="1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8" xfId="0" applyNumberFormat="1" applyFont="1" applyFill="1" applyBorder="1" applyAlignment="1">
      <x:alignment horizontal="center"/>
    </x:xf>
    <x:xf numFmtId="0" fontId="6" fillId="6" borderId="9" xfId="0" applyNumberFormat="1" applyFont="1" applyFill="1" applyBorder="1" applyAlignment="1">
      <x:alignment horizontal="center"/>
    </x:xf>
    <x:xf numFmtId="0" fontId="6" fillId="6" borderId="10" xfId="0" applyNumberFormat="1" applyFont="1" applyFill="1" applyBorder="1" applyAlignment="1">
      <x:alignment horizontal="center"/>
    </x:xf>
    <x:xf numFmtId="0" fontId="6" fillId="6" borderId="11" xfId="0" applyNumberFormat="1" applyFont="1" applyFill="1" applyBorder="1" applyAlignment="1">
      <x:alignment horizontal="center"/>
    </x:xf>
    <x:xf numFmtId="0" fontId="6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0" fontId="6" fillId="6" borderId="1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8" xfId="0" applyNumberFormat="1" applyFont="1" applyFill="1" applyBorder="1"/>
    <x:xf numFmtId="0" fontId="6" fillId="7" borderId="9" xfId="0" applyNumberFormat="1" applyFont="1" applyFill="1" applyBorder="1"/>
    <x:xf numFmtId="0" fontId="6" fillId="7" borderId="10" xfId="0" applyNumberFormat="1" applyFont="1" applyFill="1" applyBorder="1"/>
    <x:xf numFmtId="0" fontId="6" fillId="7" borderId="11" xfId="0" applyNumberFormat="1" applyFont="1" applyFill="1" applyBorder="1"/>
    <x:xf numFmtId="0" fontId="6" fillId="7" borderId="8" xfId="0" applyNumberFormat="1" applyFont="1" applyFill="1" applyBorder="1" applyAlignment="1">
      <x:alignment horizontal="center"/>
    </x:xf>
    <x:xf numFmtId="0" fontId="6" fillId="7" borderId="9" xfId="0" applyNumberFormat="1" applyFont="1" applyFill="1" applyBorder="1" applyAlignment="1">
      <x:alignment horizontal="center"/>
    </x:xf>
    <x:xf numFmtId="0" fontId="6" fillId="7" borderId="10" xfId="0" applyNumberFormat="1" applyFont="1" applyFill="1" applyBorder="1" applyAlignment="1">
      <x:alignment horizontal="center"/>
    </x:xf>
    <x:xf numFmtId="0" fontId="6" fillId="7" borderId="11" xfId="0" applyNumberFormat="1" applyFont="1" applyFill="1" applyBorder="1" applyAlignment="1">
      <x:alignment horizontal="center"/>
    </x:xf>
    <x:xf numFmtId="0" fontId="6" fillId="7" borderId="8" xfId="0" applyNumberFormat="1" applyFont="1" applyFill="1" applyBorder="1" applyAlignment="1">
      <x:alignment horizontal="center" vertical="center"/>
    </x:xf>
    <x:xf numFmtId="0" fontId="6" fillId="7" borderId="9" xfId="0" applyNumberFormat="1" applyFont="1" applyFill="1" applyBorder="1" applyAlignment="1">
      <x:alignment horizontal="center" vertical="center"/>
    </x:xf>
    <x:xf numFmtId="0" fontId="6" fillId="7" borderId="10" xfId="0" applyNumberFormat="1" applyFont="1" applyFill="1" applyBorder="1" applyAlignment="1">
      <x:alignment horizontal="center" vertical="center"/>
    </x:xf>
    <x:xf numFmtId="0" fontId="6" fillId="7" borderId="1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7c4dc6c1e4777" /><Relationship Type="http://schemas.openxmlformats.org/officeDocument/2006/relationships/theme" Target="/xl/theme/theme1.xml" Id="R9287779325ba4d68" /><Relationship Type="http://schemas.openxmlformats.org/officeDocument/2006/relationships/sharedStrings" Target="/xl/sharedStrings.xml" Id="R97b81122a7ee4b03" /><Relationship Type="http://schemas.openxmlformats.org/officeDocument/2006/relationships/worksheet" Target="/xl/worksheets/sheet1.xml" Id="R7d627422b3a94ea6" /><Relationship Type="http://schemas.openxmlformats.org/officeDocument/2006/relationships/worksheet" Target="/xl/worksheets/sheet2.xml" Id="R6126e1c57a1b4832" /><Relationship Type="http://schemas.openxmlformats.org/officeDocument/2006/relationships/worksheet" Target="/xl/worksheets/sheet3.xml" Id="R8f5858139ad3440a" /><Relationship Type="http://schemas.openxmlformats.org/officeDocument/2006/relationships/worksheet" Target="/xl/worksheets/sheet4.xml" Id="R094c5decba6f4371" /><Relationship Type="http://schemas.openxmlformats.org/officeDocument/2006/relationships/worksheet" Target="/xl/worksheets/sheet5.xml" Id="Rdb24033174e943fd" /><Relationship Type="http://schemas.openxmlformats.org/officeDocument/2006/relationships/worksheet" Target="/xl/worksheets/sheet6.xml" Id="R5311d29c0c44439c" /><Relationship Type="http://schemas.openxmlformats.org/officeDocument/2006/relationships/worksheet" Target="/xl/worksheets/sheet7.xml" Id="Ra34cbc106887455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7c85adcb224b4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Riesgos por nivel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'Dashboard'!$A$13:$A$16</c:f>
              <c:strCache>
                <c:ptCount val="0"/>
              </c:strCache>
            </c:strRef>
          </c:cat>
          <c:val>
            <c:numRef>
              <c:f>'Dashboard'!$B$13:$B$16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7c85adcb224b4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ngineeringRequirementsTable" displayName="EngineeringRequirementsTable" ref="A4:G28" headerRowCount="1" totalsRowCount="0" totalsRowShown="0">
  <x:autoFilter ref="A4:G28"/>
  <x:tableColumns count="7">
    <x:tableColumn id="1" name="ID"/>
    <x:tableColumn id="2" name="Tipo"/>
    <x:tableColumn id="3" name="Requisito"/>
    <x:tableColumn id="4" name="Prioridad"/>
    <x:tableColumn id="5" name="Épica"/>
    <x:tableColumn id="6" name="Estado"/>
    <x:tableColumn id="7" name="Fuente / evid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gineeringRisksTable" displayName="EngineeringRisksTable" ref="A4:K11" headerRowCount="1" totalsRowCount="0" totalsRowShown="0">
  <x:autoFilter ref="A4:K11"/>
  <x:tableColumns count="11">
    <x:tableColumn id="1" name="ID"/>
    <x:tableColumn id="2" name="Riesgo"/>
    <x:tableColumn id="3" name="Probabilidad"/>
    <x:tableColumn id="4" name="Impacto"/>
    <x:tableColumn id="5" name="P"/>
    <x:tableColumn id="6" name="I"/>
    <x:tableColumn id="7" name="Puntaje"/>
    <x:tableColumn id="8" name="Nivel"/>
    <x:tableColumn id="9" name="Respuesta inicial"/>
    <x:tableColumn id="10" name="Responsable"/>
    <x:tableColumn id="11" name="Estad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gineeringDecisionsTable" displayName="EngineeringDecisionsTable" ref="A4:G14" headerRowCount="1" totalsRowCount="0" totalsRowShown="0">
  <x:autoFilter ref="A4:G14"/>
  <x:tableColumns count="7">
    <x:tableColumn id="1" name="ID"/>
    <x:tableColumn id="2" name="Tema"/>
    <x:tableColumn id="3" name="Pregunta"/>
    <x:tableColumn id="4" name="Impacto"/>
    <x:tableColumn id="5" name="Estado"/>
    <x:tableColumn id="6" name="Responsable"/>
    <x:tableColumn id="7" name="Fecha objetiv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gineeringActorsTable" displayName="EngineeringActorsTable" ref="A4:E11" headerRowCount="1" totalsRowCount="0" totalsRowShown="0">
  <x:autoFilter ref="A4:E11"/>
  <x:tableColumns count="5">
    <x:tableColumn id="1" name="Actor"/>
    <x:tableColumn id="2" name="Necesidad principal"/>
    <x:tableColumn id="3" name="Canal / sistema"/>
    <x:tableColumn id="4" name="Alcance de datos"/>
    <x:tableColumn id="5" name="Observacion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gineeringTraceabilityTable" displayName="EngineeringTraceabilityTable" ref="A4:G28" headerRowCount="1" totalsRowCount="0" totalsRowShown="0">
  <x:autoFilter ref="A4:G28"/>
  <x:tableColumns count="7">
    <x:tableColumn id="1" name="Requisito"/>
    <x:tableColumn id="2" name="Descripción"/>
    <x:tableColumn id="3" name="Épica"/>
    <x:tableColumn id="4" name="Historia(s)"/>
    <x:tableColumn id="5" name="Prueba(s)"/>
    <x:tableColumn id="6" name="Release"/>
    <x:tableColumn id="7" name="Estado de verif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e781b1f82f47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e1ce293f664e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a1efe7519642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54ea1909df43e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df324dd46845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f647d3adb14e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18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0" customHeight="1">
      <x:c r="A1" s="3" t="str">
        <x:v>Dashboard de ingeniería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Resumen dinámico de requisitos, riesgos y decisiones. Los valores provienen de las hojas operativas.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0" customHeight="1"/>
    <x:row r="4">
      <x:c r="A4" s="40" t="str">
        <x:v>Requisitos</x:v>
      </x:c>
      <x:c r="B4" s="41"/>
      <x:c r="D4" s="40" t="str">
        <x:v>Riesgos abiertos</x:v>
      </x:c>
      <x:c r="E4" s="41"/>
    </x:row>
    <x:row r="5">
      <x:c r="A5" s="51" t="n">
        <x:f>COUNTA('Requisitos'!$A$5:$A$28)</x:f>
        <x:v>24</x:v>
      </x:c>
      <x:c r="B5" s="52"/>
      <x:c r="D5" s="65" t="n">
        <x:f>COUNTIF('Riesgos'!$K$5:$K$11,"Abierto")</x:f>
        <x:v>7</x:v>
      </x:c>
      <x:c r="E5" s="66"/>
    </x:row>
    <x:row r="6">
      <x:c r="A6" s="53"/>
      <x:c r="B6" s="54"/>
      <x:c r="D6" s="67"/>
      <x:c r="E6" s="68"/>
    </x:row>
    <x:row r="8">
      <x:c r="A8" s="40" t="str">
        <x:v>Riesgos altos/críticos</x:v>
      </x:c>
      <x:c r="B8" s="41"/>
      <x:c r="D8" s="40" t="str">
        <x:v>Decisiones pendientes</x:v>
      </x:c>
      <x:c r="E8" s="41"/>
    </x:row>
    <x:row r="9">
      <x:c r="A9" s="79" t="n">
        <x:f>COUNTIF('Riesgos'!$H$5:$H$11,"Alto")+COUNTIF('Riesgos'!$H$5:$H$11,"Crítico")</x:f>
        <x:v>7</x:v>
      </x:c>
      <x:c r="B9" s="80"/>
      <x:c r="D9" s="93" t="n">
        <x:f>COUNTIF('Decisiones'!$E$5:$E$14,"Pendiente")</x:f>
        <x:v>10</x:v>
      </x:c>
      <x:c r="E9" s="94"/>
    </x:row>
    <x:row r="10">
      <x:c r="A10" s="81"/>
      <x:c r="B10" s="82"/>
      <x:c r="D10" s="95"/>
      <x:c r="E10" s="96"/>
    </x:row>
    <x:row r="12">
      <x:c r="A12" s="34" t="str">
        <x:v>Nivel</x:v>
      </x:c>
      <x:c r="B12" s="34" t="str">
        <x:v>Cantidad</x:v>
      </x:c>
    </x:row>
    <x:row r="13">
      <x:c r="A13" s="32" t="str">
        <x:v>Bajo</x:v>
      </x:c>
      <x:c r="B13" s="32" t="n">
        <x:f>COUNTIF('Riesgos'!$H$5:$H$11,A13)</x:f>
        <x:v>0</x:v>
      </x:c>
    </x:row>
    <x:row r="14">
      <x:c r="A14" s="32" t="str">
        <x:v>Medio</x:v>
      </x:c>
      <x:c r="B14" s="32" t="n">
        <x:f>COUNTIF('Riesgos'!$H$5:$H$11,A14)</x:f>
        <x:v>0</x:v>
      </x:c>
    </x:row>
    <x:row r="15">
      <x:c r="A15" s="32" t="str">
        <x:v>Alto</x:v>
      </x:c>
      <x:c r="B15" s="32" t="n">
        <x:f>COUNTIF('Riesgos'!$H$5:$H$11,A15)</x:f>
        <x:v>5</x:v>
      </x:c>
    </x:row>
    <x:row r="16">
      <x:c r="A16" s="32" t="str">
        <x:v>Crítico</x:v>
      </x:c>
      <x:c r="B16" s="32" t="n">
        <x:f>COUNTIF('Riesgos'!$H$5:$H$11,A16)</x:f>
        <x:v>2</x:v>
      </x:c>
    </x:row>
  </x:sheetData>
  <x:mergeCells>
    <x:mergeCell ref="A1:N1"/>
    <x:mergeCell ref="A2:N2"/>
    <x:mergeCell ref="A4:B4"/>
    <x:mergeCell ref="A5:B6"/>
    <x:mergeCell ref="D4:E4"/>
    <x:mergeCell ref="D5:E6"/>
    <x:mergeCell ref="A8:B8"/>
    <x:mergeCell ref="A9:B10"/>
    <x:mergeCell ref="D8:E8"/>
    <x:mergeCell ref="D9:E10"/>
  </x:mergeCells>
  <x:pageMargins left="0.7" right="0.7" top="0.75" bottom="0.75" header="0.3" footer="0.3"/>
  <x:drawing xmlns:r="http://schemas.openxmlformats.org/officeDocument/2006/relationships" r:id="R87e781b1f82f474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65" hidden="0" customWidth="1"/>
    <x:col min="4" max="4" width="12" hidden="0" customWidth="1"/>
    <x:col min="5" max="5" width="12" hidden="0" customWidth="1"/>
    <x:col min="6" max="6" width="16" hidden="0" customWidth="1"/>
    <x:col min="7" max="7" width="38" hidden="0" customWidth="1"/>
  </x:cols>
  <x:sheetData>
    <x:row r="1" ht="30" customHeight="1">
      <x:c r="A1" s="3" t="str">
        <x:v>Matriz de requisitos</x:v>
      </x:c>
      <x:c r="B1" s="3"/>
      <x:c r="C1" s="3"/>
      <x:c r="D1" s="3"/>
      <x:c r="E1" s="3"/>
      <x:c r="F1" s="3"/>
      <x:c r="G1" s="3"/>
    </x:row>
    <x:row r="2" ht="28" customHeight="1">
      <x:c r="A2" s="7" t="str">
        <x:v>Requisitos de alto nivel trazables a épicas, historias, pruebas y releases.</x:v>
      </x:c>
      <x:c r="B2" s="7"/>
      <x:c r="C2" s="7"/>
      <x:c r="D2" s="7"/>
      <x:c r="E2" s="7"/>
      <x:c r="F2" s="7"/>
      <x:c r="G2" s="7"/>
    </x:row>
    <x:row r="4" ht="30" customHeight="1">
      <x:c r="A4" s="16" t="str">
        <x:v>ID</x:v>
      </x:c>
      <x:c r="B4" s="17" t="str">
        <x:v>Tipo</x:v>
      </x:c>
      <x:c r="C4" s="17" t="str">
        <x:v>Requisito</x:v>
      </x:c>
      <x:c r="D4" s="17" t="str">
        <x:v>Prioridad</x:v>
      </x:c>
      <x:c r="E4" s="17" t="str">
        <x:v>Épica</x:v>
      </x:c>
      <x:c r="F4" s="17" t="str">
        <x:v>Estado</x:v>
      </x:c>
      <x:c r="G4" s="18" t="str">
        <x:v>Fuente / evidencia</x:v>
      </x:c>
    </x:row>
    <x:row r="5" ht="15" hidden="0" customHeight="1">
      <x:c r="A5" s="26" t="str">
        <x:v>RF-01</x:v>
      </x:c>
      <x:c r="B5" s="26" t="str">
        <x:v>Funcional</x:v>
      </x:c>
      <x:c r="C5" s="26" t="str">
        <x:v>Administrar usuarios, roles y estado de acceso</x:v>
      </x:c>
      <x:c r="D5" s="26" t="str">
        <x:v>Must</x:v>
      </x:c>
      <x:c r="E5" s="26" t="str">
        <x:v>EP-03</x:v>
      </x:c>
      <x:c r="F5" s="26" t="str">
        <x:v>Pendiente</x:v>
      </x:c>
      <x:c r="G5" s="26" t="str"/>
    </x:row>
    <x:row r="6" ht="15" hidden="0" customHeight="1">
      <x:c r="A6" s="27" t="str">
        <x:v>RF-02</x:v>
      </x:c>
      <x:c r="B6" s="27" t="str">
        <x:v>Funcional</x:v>
      </x:c>
      <x:c r="C6" s="27" t="str">
        <x:v>Crear, editar, validar y archivar propiedades</x:v>
      </x:c>
      <x:c r="D6" s="27" t="str">
        <x:v>Must</x:v>
      </x:c>
      <x:c r="E6" s="27" t="str">
        <x:v>EP-04</x:v>
      </x:c>
      <x:c r="F6" s="27" t="str">
        <x:v>Pendiente</x:v>
      </x:c>
      <x:c r="G6" s="27" t="str"/>
    </x:row>
    <x:row r="7" ht="15" hidden="0" customHeight="1">
      <x:c r="A7" s="27" t="str">
        <x:v>RF-03</x:v>
      </x:c>
      <x:c r="B7" s="27" t="str">
        <x:v>Funcional</x:v>
      </x:c>
      <x:c r="C7" s="27" t="str">
        <x:v>Gestionar imágenes y documentos autorizados</x:v>
      </x:c>
      <x:c r="D7" s="27" t="str">
        <x:v>Must</x:v>
      </x:c>
      <x:c r="E7" s="27" t="str">
        <x:v>EP-04</x:v>
      </x:c>
      <x:c r="F7" s="27" t="str">
        <x:v>Pendiente</x:v>
      </x:c>
      <x:c r="G7" s="27" t="str"/>
    </x:row>
    <x:row r="8" ht="15" hidden="0" customHeight="1">
      <x:c r="A8" s="27" t="str">
        <x:v>RF-04</x:v>
      </x:c>
      <x:c r="B8" s="27" t="str">
        <x:v>Funcional</x:v>
      </x:c>
      <x:c r="C8" s="27" t="str">
        <x:v>Publicar o retirar una propiedad en la web</x:v>
      </x:c>
      <x:c r="D8" s="27" t="str">
        <x:v>Must</x:v>
      </x:c>
      <x:c r="E8" s="27" t="str">
        <x:v>EP-04</x:v>
      </x:c>
      <x:c r="F8" s="27" t="str">
        <x:v>Pendiente</x:v>
      </x:c>
      <x:c r="G8" s="27" t="str"/>
    </x:row>
    <x:row r="9" ht="15" hidden="0" customHeight="1">
      <x:c r="A9" s="27" t="str">
        <x:v>RF-05</x:v>
      </x:c>
      <x:c r="B9" s="27" t="str">
        <x:v>Funcional</x:v>
      </x:c>
      <x:c r="C9" s="27" t="str">
        <x:v>Buscar y filtrar propiedades públicas</x:v>
      </x:c>
      <x:c r="D9" s="27" t="str">
        <x:v>Must</x:v>
      </x:c>
      <x:c r="E9" s="27" t="str">
        <x:v>EP-05</x:v>
      </x:c>
      <x:c r="F9" s="27" t="str">
        <x:v>Pendiente</x:v>
      </x:c>
      <x:c r="G9" s="27" t="str"/>
    </x:row>
    <x:row r="10" ht="15" hidden="0" customHeight="1">
      <x:c r="A10" s="27" t="str">
        <x:v>RF-06</x:v>
      </x:c>
      <x:c r="B10" s="27" t="str">
        <x:v>Funcional</x:v>
      </x:c>
      <x:c r="C10" s="27" t="str">
        <x:v>Registrar contactos y consentimiento</x:v>
      </x:c>
      <x:c r="D10" s="27" t="str">
        <x:v>Must</x:v>
      </x:c>
      <x:c r="E10" s="27" t="str">
        <x:v>EP-06</x:v>
      </x:c>
      <x:c r="F10" s="27" t="str">
        <x:v>Pendiente</x:v>
      </x:c>
      <x:c r="G10" s="27" t="str"/>
    </x:row>
    <x:row r="11" ht="15" hidden="0" customHeight="1">
      <x:c r="A11" s="27" t="str">
        <x:v>RF-07</x:v>
      </x:c>
      <x:c r="B11" s="27" t="str">
        <x:v>Funcional</x:v>
      </x:c>
      <x:c r="C11" s="27" t="str">
        <x:v>Gestionar leads, oportunidades, etapas y responsables</x:v>
      </x:c>
      <x:c r="D11" s="27" t="str">
        <x:v>Must</x:v>
      </x:c>
      <x:c r="E11" s="27" t="str">
        <x:v>EP-06</x:v>
      </x:c>
      <x:c r="F11" s="27" t="str">
        <x:v>Pendiente</x:v>
      </x:c>
      <x:c r="G11" s="27" t="str"/>
    </x:row>
    <x:row r="12" ht="15" hidden="0" customHeight="1">
      <x:c r="A12" s="27" t="str">
        <x:v>RF-08</x:v>
      </x:c>
      <x:c r="B12" s="27" t="str">
        <x:v>Funcional</x:v>
      </x:c>
      <x:c r="C12" s="27" t="str">
        <x:v>Registrar notas, tareas, llamadas, mensajes y visitas</x:v>
      </x:c>
      <x:c r="D12" s="27" t="str">
        <x:v>Must</x:v>
      </x:c>
      <x:c r="E12" s="27" t="str">
        <x:v>EP-06</x:v>
      </x:c>
      <x:c r="F12" s="27" t="str">
        <x:v>Pendiente</x:v>
      </x:c>
      <x:c r="G12" s="27" t="str"/>
    </x:row>
    <x:row r="13" ht="15" hidden="0" customHeight="1">
      <x:c r="A13" s="27" t="str">
        <x:v>RF-09</x:v>
      </x:c>
      <x:c r="B13" s="27" t="str">
        <x:v>Funcional</x:v>
      </x:c>
      <x:c r="C13" s="27" t="str">
        <x:v>Atender consultas con IA usando datos autorizados</x:v>
      </x:c>
      <x:c r="D13" s="27" t="str">
        <x:v>Must</x:v>
      </x:c>
      <x:c r="E13" s="27" t="str">
        <x:v>EP-07</x:v>
      </x:c>
      <x:c r="F13" s="27" t="str">
        <x:v>Pendiente</x:v>
      </x:c>
      <x:c r="G13" s="27" t="str"/>
    </x:row>
    <x:row r="14" ht="15" hidden="0" customHeight="1">
      <x:c r="A14" s="27" t="str">
        <x:v>RF-10</x:v>
      </x:c>
      <x:c r="B14" s="27" t="str">
        <x:v>Funcional</x:v>
      </x:c>
      <x:c r="C14" s="27" t="str">
        <x:v>Derivar conversaciones a una persona con contexto</x:v>
      </x:c>
      <x:c r="D14" s="27" t="str">
        <x:v>Must</x:v>
      </x:c>
      <x:c r="E14" s="27" t="str">
        <x:v>EP-07</x:v>
      </x:c>
      <x:c r="F14" s="27" t="str">
        <x:v>Pendiente</x:v>
      </x:c>
      <x:c r="G14" s="27" t="str"/>
    </x:row>
    <x:row r="15" ht="15" hidden="0" customHeight="1">
      <x:c r="A15" s="27" t="str">
        <x:v>RF-11</x:v>
      </x:c>
      <x:c r="B15" s="27" t="str">
        <x:v>Funcional</x:v>
      </x:c>
      <x:c r="C15" s="27" t="str">
        <x:v>Medir fuentes, tiempos y conversión del embudo</x:v>
      </x:c>
      <x:c r="D15" s="27" t="str">
        <x:v>Should</x:v>
      </x:c>
      <x:c r="E15" s="27" t="str">
        <x:v>EP-08</x:v>
      </x:c>
      <x:c r="F15" s="27" t="str">
        <x:v>Pendiente</x:v>
      </x:c>
      <x:c r="G15" s="27" t="str"/>
    </x:row>
    <x:row r="16" ht="15" hidden="0" customHeight="1">
      <x:c r="A16" s="27" t="str">
        <x:v>RF-12</x:v>
      </x:c>
      <x:c r="B16" s="27" t="str">
        <x:v>Funcional</x:v>
      </x:c>
      <x:c r="C16" s="27" t="str">
        <x:v>Notificar asignaciones y tareas vencidas</x:v>
      </x:c>
      <x:c r="D16" s="27" t="str">
        <x:v>Should</x:v>
      </x:c>
      <x:c r="E16" s="27" t="str">
        <x:v>EP-06</x:v>
      </x:c>
      <x:c r="F16" s="27" t="str">
        <x:v>Pendiente</x:v>
      </x:c>
      <x:c r="G16" s="27" t="str"/>
    </x:row>
    <x:row r="17" ht="15" hidden="0" customHeight="1">
      <x:c r="A17" s="27" t="str">
        <x:v>RF-13</x:v>
      </x:c>
      <x:c r="B17" s="27" t="str">
        <x:v>Funcional</x:v>
      </x:c>
      <x:c r="C17" s="27" t="str">
        <x:v>Importar y exportar datos con validación</x:v>
      </x:c>
      <x:c r="D17" s="27" t="str">
        <x:v>Could</x:v>
      </x:c>
      <x:c r="E17" s="27" t="str">
        <x:v>EP-04</x:v>
      </x:c>
      <x:c r="F17" s="27" t="str">
        <x:v>Pendiente</x:v>
      </x:c>
      <x:c r="G17" s="27" t="str"/>
    </x:row>
    <x:row r="18" ht="15" hidden="0" customHeight="1">
      <x:c r="A18" s="27" t="str">
        <x:v>RF-14</x:v>
      </x:c>
      <x:c r="B18" s="27" t="str">
        <x:v>Funcional</x:v>
      </x:c>
      <x:c r="C18" s="27" t="str">
        <x:v>Integrar calendarios y canales externos</x:v>
      </x:c>
      <x:c r="D18" s="27" t="str">
        <x:v>Could</x:v>
      </x:c>
      <x:c r="E18" s="27" t="str">
        <x:v>EP-06</x:v>
      </x:c>
      <x:c r="F18" s="27" t="str">
        <x:v>Pendiente</x:v>
      </x:c>
      <x:c r="G18" s="27" t="str"/>
    </x:row>
    <x:row r="19" ht="15" hidden="0" customHeight="1">
      <x:c r="A19" s="27" t="str">
        <x:v>RNF-01</x:v>
      </x:c>
      <x:c r="B19" s="27" t="str">
        <x:v>No funcional</x:v>
      </x:c>
      <x:c r="C19" s="27" t="str">
        <x:v>TLS, mínimo privilegio, secretos fuera del código, auditoría y MFA de administradores</x:v>
      </x:c>
      <x:c r="D19" s="27" t="str">
        <x:v>Must</x:v>
      </x:c>
      <x:c r="E19" s="27" t="str">
        <x:v>EP-02</x:v>
      </x:c>
      <x:c r="F19" s="27" t="str">
        <x:v>Pendiente</x:v>
      </x:c>
      <x:c r="G19" s="27" t="str"/>
    </x:row>
    <x:row r="20" ht="15" hidden="0" customHeight="1">
      <x:c r="A20" s="27" t="str">
        <x:v>RNF-02</x:v>
      </x:c>
      <x:c r="B20" s="27" t="str">
        <x:v>No funcional</x:v>
      </x:c>
      <x:c r="C20" s="27" t="str">
        <x:v>Consentimiento trazable, minimización y redacción de datos en logs</x:v>
      </x:c>
      <x:c r="D20" s="27" t="str">
        <x:v>Must</x:v>
      </x:c>
      <x:c r="E20" s="27" t="str">
        <x:v>EP-02</x:v>
      </x:c>
      <x:c r="F20" s="27" t="str">
        <x:v>Pendiente</x:v>
      </x:c>
      <x:c r="G20" s="27" t="str"/>
    </x:row>
    <x:row r="21" ht="15" hidden="0" customHeight="1">
      <x:c r="A21" s="27" t="str">
        <x:v>RNF-03</x:v>
      </x:c>
      <x:c r="B21" s="27" t="str">
        <x:v>No funcional</x:v>
      </x:c>
      <x:c r="C21" s="27" t="str">
        <x:v>Disponibilidad objetivo inicial de 99,5% mensual</x:v>
      </x:c>
      <x:c r="D21" s="27" t="str">
        <x:v>Must</x:v>
      </x:c>
      <x:c r="E21" s="27" t="str">
        <x:v>EP-08</x:v>
      </x:c>
      <x:c r="F21" s="27" t="str">
        <x:v>Pendiente</x:v>
      </x:c>
      <x:c r="G21" s="27" t="str"/>
    </x:row>
    <x:row r="22" ht="15" hidden="0" customHeight="1">
      <x:c r="A22" s="27" t="str">
        <x:v>RNF-04</x:v>
      </x:c>
      <x:c r="B22" s="27" t="str">
        <x:v>No funcional</x:v>
      </x:c>
      <x:c r="C22" s="27" t="str">
        <x:v>p95 menor a 2 s en consultas web normales</x:v>
      </x:c>
      <x:c r="D22" s="27" t="str">
        <x:v>Should</x:v>
      </x:c>
      <x:c r="E22" s="27" t="str">
        <x:v>EP-08</x:v>
      </x:c>
      <x:c r="F22" s="27" t="str">
        <x:v>Pendiente</x:v>
      </x:c>
      <x:c r="G22" s="27" t="str"/>
    </x:row>
    <x:row r="23" ht="15" hidden="0" customHeight="1">
      <x:c r="A23" s="27" t="str">
        <x:v>RNF-05</x:v>
      </x:c>
      <x:c r="B23" s="27" t="str">
        <x:v>No funcional</x:v>
      </x:c>
      <x:c r="C23" s="27" t="str">
        <x:v>RPO 24 h y RTO 4 h, sujetos a validación</x:v>
      </x:c>
      <x:c r="D23" s="27" t="str">
        <x:v>Must</x:v>
      </x:c>
      <x:c r="E23" s="27" t="str">
        <x:v>EP-08</x:v>
      </x:c>
      <x:c r="F23" s="27" t="str">
        <x:v>Pendiente</x:v>
      </x:c>
      <x:c r="G23" s="27" t="str"/>
    </x:row>
    <x:row r="24" ht="15" hidden="0" customHeight="1">
      <x:c r="A24" s="27" t="str">
        <x:v>RNF-06</x:v>
      </x:c>
      <x:c r="B24" s="27" t="str">
        <x:v>No funcional</x:v>
      </x:c>
      <x:c r="C24" s="27" t="str">
        <x:v>Interfaz pública orientada a WCAG 2.2 AA</x:v>
      </x:c>
      <x:c r="D24" s="27" t="str">
        <x:v>Should</x:v>
      </x:c>
      <x:c r="E24" s="27" t="str">
        <x:v>EP-05</x:v>
      </x:c>
      <x:c r="F24" s="27" t="str">
        <x:v>Pendiente</x:v>
      </x:c>
      <x:c r="G24" s="27" t="str"/>
    </x:row>
    <x:row r="25" ht="15" hidden="0" customHeight="1">
      <x:c r="A25" s="27" t="str">
        <x:v>RNF-07</x:v>
      </x:c>
      <x:c r="B25" s="27" t="str">
        <x:v>No funcional</x:v>
      </x:c>
      <x:c r="C25" s="27" t="str">
        <x:v>Logs estructurados, métricas, correlación y alertas accionables</x:v>
      </x:c>
      <x:c r="D25" s="27" t="str">
        <x:v>Must</x:v>
      </x:c>
      <x:c r="E25" s="27" t="str">
        <x:v>EP-08</x:v>
      </x:c>
      <x:c r="F25" s="27" t="str">
        <x:v>Pendiente</x:v>
      </x:c>
      <x:c r="G25" s="27" t="str"/>
    </x:row>
    <x:row r="26" ht="15" hidden="0" customHeight="1">
      <x:c r="A26" s="27" t="str">
        <x:v>RNF-08</x:v>
      </x:c>
      <x:c r="B26" s="27" t="str">
        <x:v>No funcional</x:v>
      </x:c>
      <x:c r="C26" s="27" t="str">
        <x:v>Pruebas automatizadas, migraciones versionadas y documentación de decisiones</x:v>
      </x:c>
      <x:c r="D26" s="27" t="str">
        <x:v>Must</x:v>
      </x:c>
      <x:c r="E26" s="27" t="str">
        <x:v>EP-02</x:v>
      </x:c>
      <x:c r="F26" s="27" t="str">
        <x:v>Pendiente</x:v>
      </x:c>
      <x:c r="G26" s="27" t="str"/>
    </x:row>
    <x:row r="27" ht="15" hidden="0" customHeight="1">
      <x:c r="A27" s="27" t="str">
        <x:v>RNF-09</x:v>
      </x:c>
      <x:c r="B27" s="27" t="str">
        <x:v>No funcional</x:v>
      </x:c>
      <x:c r="C27" s="27" t="str">
        <x:v>Web adaptable para navegadores principales vigentes</x:v>
      </x:c>
      <x:c r="D27" s="27" t="str">
        <x:v>Should</x:v>
      </x:c>
      <x:c r="E27" s="27" t="str">
        <x:v>EP-05</x:v>
      </x:c>
      <x:c r="F27" s="27" t="str">
        <x:v>Pendiente</x:v>
      </x:c>
      <x:c r="G27" s="27" t="str"/>
    </x:row>
    <x:row r="28" ht="15" hidden="0" customHeight="1">
      <x:c r="A28" s="28" t="str">
        <x:v>RNF-10</x:v>
      </x:c>
      <x:c r="B28" s="28" t="str">
        <x:v>No funcional</x:v>
      </x:c>
      <x:c r="C28" s="28" t="str">
        <x:v>IA con fuentes trazables, límites de herramienta, evaluación y derivación segura</x:v>
      </x:c>
      <x:c r="D28" s="28" t="str">
        <x:v>Must</x:v>
      </x:c>
      <x:c r="E28" s="28" t="str">
        <x:v>EP-07</x:v>
      </x:c>
      <x:c r="F28" s="28" t="str">
        <x:v>Pendiente</x:v>
      </x:c>
      <x:c r="G28" s="28" t="str"/>
    </x:row>
  </x:sheetData>
  <x:mergeCells>
    <x:mergeCell ref="A1:G1"/>
    <x:mergeCell ref="A2:G2"/>
  </x:mergeCells>
  <x:dataValidations count="2">
    <x:dataValidation type="list" sqref="D5:D28">
      <x:formula1>"Must,Should,Could,Won't"</x:formula1>
    </x:dataValidation>
    <x:dataValidation type="list" sqref="F5:F28">
      <x:formula1>"Pendiente,En análisis,Aprobado,Implementado,Verificado,Rechazado"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5e1ce293f664e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8" hidden="0" customWidth="1"/>
    <x:col min="3" max="3" width="15" hidden="0" customWidth="1"/>
    <x:col min="4" max="4" width="14" hidden="0" customWidth="1"/>
    <x:col min="5" max="5" width="7" hidden="0" customWidth="1"/>
    <x:col min="6" max="6" width="7" hidden="0" customWidth="1"/>
    <x:col min="7" max="7" width="11" hidden="0" customWidth="1"/>
    <x:col min="8" max="8" width="12" hidden="0" customWidth="1"/>
    <x:col min="9" max="9" width="62" hidden="0" customWidth="1"/>
    <x:col min="10" max="10" width="22" hidden="0" customWidth="1"/>
    <x:col min="11" max="11" width="14" hidden="0" customWidth="1"/>
  </x:cols>
  <x:sheetData>
    <x:row r="1" ht="30" customHeight="1">
      <x:c r="A1" s="3" t="str">
        <x:v>Registro de riesgos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8" customHeight="1">
      <x:c r="A2" s="7" t="str">
        <x:v>Puntaje y nivel calculados desde las escalas de la hoja Catálogos.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16" t="str">
        <x:v>ID</x:v>
      </x:c>
      <x:c r="B4" s="17" t="str">
        <x:v>Riesgo</x:v>
      </x:c>
      <x:c r="C4" s="17" t="str">
        <x:v>Probabilidad</x:v>
      </x:c>
      <x:c r="D4" s="17" t="str">
        <x:v>Impacto</x:v>
      </x:c>
      <x:c r="E4" s="17" t="str">
        <x:v>P</x:v>
      </x:c>
      <x:c r="F4" s="17" t="str">
        <x:v>I</x:v>
      </x:c>
      <x:c r="G4" s="17" t="str">
        <x:v>Puntaje</x:v>
      </x:c>
      <x:c r="H4" s="17" t="str">
        <x:v>Nivel</x:v>
      </x:c>
      <x:c r="I4" s="17" t="str">
        <x:v>Respuesta inicial</x:v>
      </x:c>
      <x:c r="J4" s="17" t="str">
        <x:v>Responsable</x:v>
      </x:c>
      <x:c r="K4" s="18" t="str">
        <x:v>Estado</x:v>
      </x:c>
    </x:row>
    <x:row r="5" ht="15" hidden="0" customHeight="1">
      <x:c r="A5" s="26" t="str">
        <x:v>R-001</x:v>
      </x:c>
      <x:c r="B5" s="26" t="str">
        <x:v>Alcance demasiado amplio para un primer release</x:v>
      </x:c>
      <x:c r="C5" s="26" t="str">
        <x:v>Alta</x:v>
      </x:c>
      <x:c r="D5" s="26" t="str">
        <x:v>Alto</x:v>
      </x:c>
      <x:c r="E5" s="26" t="n">
        <x:f>VLOOKUP(C5,'Catálogos'!$A$5:$B$7,2,FALSE)</x:f>
        <x:v>3</x:v>
      </x:c>
      <x:c r="F5" s="26" t="n">
        <x:f>VLOOKUP(D5,'Catálogos'!$D$5:$E$8,2,FALSE)</x:f>
        <x:v>3</x:v>
      </x:c>
      <x:c r="G5" s="26" t="n">
        <x:f>E5*F5</x:f>
        <x:v>9</x:v>
      </x:c>
      <x:c r="H5" s="26" t="str">
        <x:f>VLOOKUP(G5,'Catálogos'!$G$5:$H$8,2,TRUE)</x:f>
        <x:v>Crítico</x:v>
      </x:c>
      <x:c r="I5" s="26" t="str">
        <x:v>MVP por flujo de valor y control de cambios</x:v>
      </x:c>
      <x:c r="J5" s="26" t="str"/>
      <x:c r="K5" s="26" t="str">
        <x:v>Abierto</x:v>
      </x:c>
    </x:row>
    <x:row r="6" ht="15" hidden="0" customHeight="1">
      <x:c r="A6" s="27" t="str">
        <x:v>R-002</x:v>
      </x:c>
      <x:c r="B6" s="27" t="str">
        <x:v>Datos de propiedades incompletos o inconsistentes</x:v>
      </x:c>
      <x:c r="C6" s="27" t="str">
        <x:v>Alta</x:v>
      </x:c>
      <x:c r="D6" s="27" t="str">
        <x:v>Alto</x:v>
      </x:c>
      <x:c r="E6" s="27" t="n">
        <x:f>VLOOKUP(C6,'Catálogos'!$A$5:$B$7,2,FALSE)</x:f>
        <x:v>3</x:v>
      </x:c>
      <x:c r="F6" s="27" t="n">
        <x:f>VLOOKUP(D6,'Catálogos'!$D$5:$E$8,2,FALSE)</x:f>
        <x:v>3</x:v>
      </x:c>
      <x:c r="G6" s="27" t="n">
        <x:f>E6*F6</x:f>
        <x:v>9</x:v>
      </x:c>
      <x:c r="H6" s="27" t="str">
        <x:f>VLOOKUP(G6,'Catálogos'!$G$5:$H$8,2,TRUE)</x:f>
        <x:v>Crítico</x:v>
      </x:c>
      <x:c r="I6" s="27" t="str">
        <x:v>Validaciones, estados y responsable de calidad</x:v>
      </x:c>
      <x:c r="J6" s="27" t="str"/>
      <x:c r="K6" s="27" t="str">
        <x:v>Abierto</x:v>
      </x:c>
    </x:row>
    <x:row r="7" ht="15" hidden="0" customHeight="1">
      <x:c r="A7" s="27" t="str">
        <x:v>R-003</x:v>
      </x:c>
      <x:c r="B7" s="27" t="str">
        <x:v>Respuestas incorrectas del agente IA</x:v>
      </x:c>
      <x:c r="C7" s="27" t="str">
        <x:v>Media</x:v>
      </x:c>
      <x:c r="D7" s="27" t="str">
        <x:v>Alto</x:v>
      </x:c>
      <x:c r="E7" s="27" t="n">
        <x:f>VLOOKUP(C7,'Catálogos'!$A$5:$B$7,2,FALSE)</x:f>
        <x:v>2</x:v>
      </x:c>
      <x:c r="F7" s="27" t="n">
        <x:f>VLOOKUP(D7,'Catálogos'!$D$5:$E$8,2,FALSE)</x:f>
        <x:v>3</x:v>
      </x:c>
      <x:c r="G7" s="27" t="n">
        <x:f>E7*F7</x:f>
        <x:v>6</x:v>
      </x:c>
      <x:c r="H7" s="27" t="str">
        <x:f>VLOOKUP(G7,'Catálogos'!$G$5:$H$8,2,TRUE)</x:f>
        <x:v>Alto</x:v>
      </x:c>
      <x:c r="I7" s="27" t="str">
        <x:v>Herramientas restringidas, fuentes verificadas y derivación</x:v>
      </x:c>
      <x:c r="J7" s="27" t="str"/>
      <x:c r="K7" s="27" t="str">
        <x:v>Abierto</x:v>
      </x:c>
    </x:row>
    <x:row r="8" ht="15" hidden="0" customHeight="1">
      <x:c r="A8" s="27" t="str">
        <x:v>R-004</x:v>
      </x:c>
      <x:c r="B8" s="27" t="str">
        <x:v>Exposición de datos personales</x:v>
      </x:c>
      <x:c r="C8" s="27" t="str">
        <x:v>Media</x:v>
      </x:c>
      <x:c r="D8" s="27" t="str">
        <x:v>Crítico</x:v>
      </x:c>
      <x:c r="E8" s="27" t="n">
        <x:f>VLOOKUP(C8,'Catálogos'!$A$5:$B$7,2,FALSE)</x:f>
        <x:v>2</x:v>
      </x:c>
      <x:c r="F8" s="27" t="n">
        <x:f>VLOOKUP(D8,'Catálogos'!$D$5:$E$8,2,FALSE)</x:f>
        <x:v>4</x:v>
      </x:c>
      <x:c r="G8" s="27" t="n">
        <x:f>E8*F8</x:f>
        <x:v>8</x:v>
      </x:c>
      <x:c r="H8" s="27" t="str">
        <x:f>VLOOKUP(G8,'Catálogos'!$G$5:$H$8,2,TRUE)</x:f>
        <x:v>Alto</x:v>
      </x:c>
      <x:c r="I8" s="27" t="str">
        <x:v>Privacidad por diseño, permisos, cifrado y auditoría</x:v>
      </x:c>
      <x:c r="J8" s="27" t="str"/>
      <x:c r="K8" s="27" t="str">
        <x:v>Abierto</x:v>
      </x:c>
    </x:row>
    <x:row r="9" ht="15" hidden="0" customHeight="1">
      <x:c r="A9" s="27" t="str">
        <x:v>R-005</x:v>
      </x:c>
      <x:c r="B9" s="27" t="str">
        <x:v>Dependencia de integraciones externas</x:v>
      </x:c>
      <x:c r="C9" s="27" t="str">
        <x:v>Media</x:v>
      </x:c>
      <x:c r="D9" s="27" t="str">
        <x:v>Alto</x:v>
      </x:c>
      <x:c r="E9" s="27" t="n">
        <x:f>VLOOKUP(C9,'Catálogos'!$A$5:$B$7,2,FALSE)</x:f>
        <x:v>2</x:v>
      </x:c>
      <x:c r="F9" s="27" t="n">
        <x:f>VLOOKUP(D9,'Catálogos'!$D$5:$E$8,2,FALSE)</x:f>
        <x:v>3</x:v>
      </x:c>
      <x:c r="G9" s="27" t="n">
        <x:f>E9*F9</x:f>
        <x:v>6</x:v>
      </x:c>
      <x:c r="H9" s="27" t="str">
        <x:f>VLOOKUP(G9,'Catálogos'!$G$5:$H$8,2,TRUE)</x:f>
        <x:v>Alto</x:v>
      </x:c>
      <x:c r="I9" s="27" t="str">
        <x:v>Adaptadores, reintentos, colas y monitoreo</x:v>
      </x:c>
      <x:c r="J9" s="27" t="str"/>
      <x:c r="K9" s="27" t="str">
        <x:v>Abierto</x:v>
      </x:c>
    </x:row>
    <x:row r="10" ht="15" hidden="0" customHeight="1">
      <x:c r="A10" s="27" t="str">
        <x:v>R-006</x:v>
      </x:c>
      <x:c r="B10" s="27" t="str">
        <x:v>Caída del único VPS</x:v>
      </x:c>
      <x:c r="C10" s="27" t="str">
        <x:v>Media</x:v>
      </x:c>
      <x:c r="D10" s="27" t="str">
        <x:v>Alto</x:v>
      </x:c>
      <x:c r="E10" s="27" t="n">
        <x:f>VLOOKUP(C10,'Catálogos'!$A$5:$B$7,2,FALSE)</x:f>
        <x:v>2</x:v>
      </x:c>
      <x:c r="F10" s="27" t="n">
        <x:f>VLOOKUP(D10,'Catálogos'!$D$5:$E$8,2,FALSE)</x:f>
        <x:v>3</x:v>
      </x:c>
      <x:c r="G10" s="27" t="n">
        <x:f>E10*F10</x:f>
        <x:v>6</x:v>
      </x:c>
      <x:c r="H10" s="27" t="str">
        <x:f>VLOOKUP(G10,'Catálogos'!$G$5:$H$8,2,TRUE)</x:f>
        <x:v>Alto</x:v>
      </x:c>
      <x:c r="I10" s="27" t="str">
        <x:v>Backups externos, recuperación ensayada y evolución a alta disponibilidad</x:v>
      </x:c>
      <x:c r="J10" s="27" t="str"/>
      <x:c r="K10" s="27" t="str">
        <x:v>Abierto</x:v>
      </x:c>
    </x:row>
    <x:row r="11" ht="15" hidden="0" customHeight="1">
      <x:c r="A11" s="28" t="str">
        <x:v>R-007</x:v>
      </x:c>
      <x:c r="B11" s="28" t="str">
        <x:v>Baja adopción del CRM</x:v>
      </x:c>
      <x:c r="C11" s="28" t="str">
        <x:v>Media</x:v>
      </x:c>
      <x:c r="D11" s="28" t="str">
        <x:v>Alto</x:v>
      </x:c>
      <x:c r="E11" s="28" t="n">
        <x:f>VLOOKUP(C11,'Catálogos'!$A$5:$B$7,2,FALSE)</x:f>
        <x:v>2</x:v>
      </x:c>
      <x:c r="F11" s="28" t="n">
        <x:f>VLOOKUP(D11,'Catálogos'!$D$5:$E$8,2,FALSE)</x:f>
        <x:v>3</x:v>
      </x:c>
      <x:c r="G11" s="28" t="n">
        <x:f>E11*F11</x:f>
        <x:v>6</x:v>
      </x:c>
      <x:c r="H11" s="28" t="str">
        <x:f>VLOOKUP(G11,'Catálogos'!$G$5:$H$8,2,TRUE)</x:f>
        <x:v>Alto</x:v>
      </x:c>
      <x:c r="I11" s="28" t="str">
        <x:v>Diseño con usuarios, métricas de uso y capacitación</x:v>
      </x:c>
      <x:c r="J11" s="28" t="str"/>
      <x:c r="K11" s="28" t="str">
        <x:v>Abierto</x:v>
      </x:c>
    </x:row>
  </x:sheetData>
  <x:mergeCells>
    <x:mergeCell ref="A1:K1"/>
    <x:mergeCell ref="A2:K2"/>
  </x:mergeCells>
  <x:conditionalFormatting sqref="H5:H11">
    <x:cfRule type="containsText" dxfId="0" priority="1" operator="containsText" text="Crítico"/>
    <x:cfRule type="containsText" dxfId="1" priority="2" operator="containsText" text="Alto"/>
    <x:cfRule type="containsText" dxfId="2" priority="3" operator="containsText" text="Medio"/>
  </x:conditionalFormatting>
  <x:dataValidations count="3">
    <x:dataValidation type="list" sqref="C5:C11">
      <x:formula1>"Baja,Media,Alta"</x:formula1>
    </x:dataValidation>
    <x:dataValidation type="list" sqref="D5:D11">
      <x:formula1>"Bajo,Medio,Alto,Crítico"</x:formula1>
    </x:dataValidation>
    <x:dataValidation type="list" sqref="K5:K11">
      <x:formula1>"Abierto,Mitigando,Aceptado,Cerrado"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a1efe7519642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0" hidden="0" customWidth="1"/>
    <x:col min="3" max="3" width="58" hidden="0" customWidth="1"/>
    <x:col min="4" max="4" width="52" hidden="0" customWidth="1"/>
    <x:col min="5" max="5" width="16" hidden="0" customWidth="1"/>
    <x:col min="6" max="6" width="22" hidden="0" customWidth="1"/>
    <x:col min="7" max="7" width="16" hidden="0" customWidth="1"/>
  </x:cols>
  <x:sheetData>
    <x:row r="1" ht="30" customHeight="1">
      <x:c r="A1" s="3" t="str">
        <x:v>Registro de decisiones pendientes</x:v>
      </x:c>
      <x:c r="B1" s="3"/>
      <x:c r="C1" s="3"/>
      <x:c r="D1" s="3"/>
      <x:c r="E1" s="3"/>
      <x:c r="F1" s="3"/>
      <x:c r="G1" s="3"/>
    </x:row>
    <x:row r="2" ht="28" customHeight="1">
      <x:c r="A2" s="7" t="str">
        <x:v>Las decisiones significativas deben cerrarse con evidencia y registrarse posteriormente mediante ADR.</x:v>
      </x:c>
      <x:c r="B2" s="7"/>
      <x:c r="C2" s="7"/>
      <x:c r="D2" s="7"/>
      <x:c r="E2" s="7"/>
      <x:c r="F2" s="7"/>
      <x:c r="G2" s="7"/>
    </x:row>
    <x:row r="4" ht="30" customHeight="1">
      <x:c r="A4" s="16" t="str">
        <x:v>ID</x:v>
      </x:c>
      <x:c r="B4" s="17" t="str">
        <x:v>Tema</x:v>
      </x:c>
      <x:c r="C4" s="17" t="str">
        <x:v>Pregunta</x:v>
      </x:c>
      <x:c r="D4" s="17" t="str">
        <x:v>Impacto</x:v>
      </x:c>
      <x:c r="E4" s="17" t="str">
        <x:v>Estado</x:v>
      </x:c>
      <x:c r="F4" s="17" t="str">
        <x:v>Responsable</x:v>
      </x:c>
      <x:c r="G4" s="18" t="str">
        <x:v>Fecha objetivo</x:v>
      </x:c>
    </x:row>
    <x:row r="5" ht="15" hidden="0" customHeight="1">
      <x:c r="A5" s="26" t="str">
        <x:v>D-001</x:v>
      </x:c>
      <x:c r="B5" s="26" t="str">
        <x:v>Modelo de negocio</x:v>
      </x:c>
      <x:c r="C5" s="26" t="str">
        <x:v>¿Venta, arriendo, administración o los tres?</x:v>
      </x:c>
      <x:c r="D5" s="26" t="str">
        <x:v>Dominio y alcance del MVP</x:v>
      </x:c>
      <x:c r="E5" s="26" t="str">
        <x:v>Pendiente</x:v>
      </x:c>
      <x:c r="F5" s="26" t="str">
        <x:v>Product Owner</x:v>
      </x:c>
      <x:c r="G5" s="29" t="str"/>
    </x:row>
    <x:row r="6" ht="15" hidden="0" customHeight="1">
      <x:c r="A6" s="27" t="str">
        <x:v>D-002</x:v>
      </x:c>
      <x:c r="B6" s="27" t="str">
        <x:v>Escala</x:v>
      </x:c>
      <x:c r="C6" s="27" t="str">
        <x:v>¿Cuántas sucursales, ejecutivos y propiedades?</x:v>
      </x:c>
      <x:c r="D6" s="27" t="str">
        <x:v>Capacidad, permisos y costos</x:v>
      </x:c>
      <x:c r="E6" s="27" t="str">
        <x:v>Pendiente</x:v>
      </x:c>
      <x:c r="F6" s="27" t="str">
        <x:v>Product Owner</x:v>
      </x:c>
      <x:c r="G6" s="30" t="str"/>
    </x:row>
    <x:row r="7" ht="15" hidden="0" customHeight="1">
      <x:c r="A7" s="27" t="str">
        <x:v>D-003</x:v>
      </x:c>
      <x:c r="B7" s="27" t="str">
        <x:v>Jurisdicción</x:v>
      </x:c>
      <x:c r="C7" s="27" t="str">
        <x:v>¿En qué país y jurisdicción operará?</x:v>
      </x:c>
      <x:c r="D7" s="27" t="str">
        <x:v>Privacidad, contratos y tratamiento de datos</x:v>
      </x:c>
      <x:c r="E7" s="27" t="str">
        <x:v>Pendiente</x:v>
      </x:c>
      <x:c r="F7" s="27" t="str">
        <x:v>Negocio / Legal</x:v>
      </x:c>
      <x:c r="G7" s="30" t="str"/>
    </x:row>
    <x:row r="8" ht="15" hidden="0" customHeight="1">
      <x:c r="A8" s="27" t="str">
        <x:v>D-004</x:v>
      </x:c>
      <x:c r="B8" s="27" t="str">
        <x:v>Canales</x:v>
      </x:c>
      <x:c r="C8" s="27" t="str">
        <x:v>¿Web, WhatsApp, correo, voz u otros?</x:v>
      </x:c>
      <x:c r="D8" s="27" t="str">
        <x:v>Integraciones y presupuesto</x:v>
      </x:c>
      <x:c r="E8" s="27" t="str">
        <x:v>Pendiente</x:v>
      </x:c>
      <x:c r="F8" s="27" t="str">
        <x:v>Product Owner</x:v>
      </x:c>
      <x:c r="G8" s="30" t="str"/>
    </x:row>
    <x:row r="9" ht="15" hidden="0" customHeight="1">
      <x:c r="A9" s="27" t="str">
        <x:v>D-005</x:v>
      </x:c>
      <x:c r="B9" s="27" t="str">
        <x:v>CRM</x:v>
      </x:c>
      <x:c r="C9" s="27" t="str">
        <x:v>¿Se construye o se integra uno existente?</x:v>
      </x:c>
      <x:c r="D9" s="27" t="str">
        <x:v>Arquitectura, plazo y licencias</x:v>
      </x:c>
      <x:c r="E9" s="27" t="str">
        <x:v>Pendiente</x:v>
      </x:c>
      <x:c r="F9" s="27" t="str">
        <x:v>Arquitectura / PO</x:v>
      </x:c>
      <x:c r="G9" s="30" t="str"/>
    </x:row>
    <x:row r="10" ht="15" hidden="0" customHeight="1">
      <x:c r="A10" s="27" t="str">
        <x:v>D-006</x:v>
      </x:c>
      <x:c r="B10" s="27" t="str">
        <x:v>Portales</x:v>
      </x:c>
      <x:c r="C10" s="27" t="str">
        <x:v>¿Qué portales inmobiliarios deben sincronizarse?</x:v>
      </x:c>
      <x:c r="D10" s="27" t="str">
        <x:v>Formatos, APIs y operación</x:v>
      </x:c>
      <x:c r="E10" s="27" t="str">
        <x:v>Pendiente</x:v>
      </x:c>
      <x:c r="F10" s="27" t="str">
        <x:v>Negocio</x:v>
      </x:c>
      <x:c r="G10" s="30" t="str"/>
    </x:row>
    <x:row r="11" ht="15" hidden="0" customHeight="1">
      <x:c r="A11" s="27" t="str">
        <x:v>D-007</x:v>
      </x:c>
      <x:c r="B11" s="27" t="str">
        <x:v>Agenda</x:v>
      </x:c>
      <x:c r="C11" s="27" t="str">
        <x:v>¿Google, Outlook o agenda propia?</x:v>
      </x:c>
      <x:c r="D11" s="27" t="str">
        <x:v>Autorización y experiencia del usuario</x:v>
      </x:c>
      <x:c r="E11" s="27" t="str">
        <x:v>Pendiente</x:v>
      </x:c>
      <x:c r="F11" s="27" t="str">
        <x:v>Product Owner</x:v>
      </x:c>
      <x:c r="G11" s="30" t="str"/>
    </x:row>
    <x:row r="12" ht="15" hidden="0" customHeight="1">
      <x:c r="A12" s="27" t="str">
        <x:v>D-008</x:v>
      </x:c>
      <x:c r="B12" s="27" t="str">
        <x:v>IA</x:v>
      </x:c>
      <x:c r="C12" s="27" t="str">
        <x:v>¿Qué proveedor/modelo, presupuesto y política de datos?</x:v>
      </x:c>
      <x:c r="D12" s="27" t="str">
        <x:v>Privacidad, latencia y calidad</x:v>
      </x:c>
      <x:c r="E12" s="27" t="str">
        <x:v>Pendiente</x:v>
      </x:c>
      <x:c r="F12" s="27" t="str">
        <x:v>Arquitectura / Legal</x:v>
      </x:c>
      <x:c r="G12" s="30" t="str"/>
    </x:row>
    <x:row r="13" ht="15" hidden="0" customHeight="1">
      <x:c r="A13" s="27" t="str">
        <x:v>D-009</x:v>
      </x:c>
      <x:c r="B13" s="27" t="str">
        <x:v>Infraestructura</x:v>
      </x:c>
      <x:c r="C13" s="27" t="str">
        <x:v>¿Proveedor, región, SLA y presupuesto del VPS?</x:v>
      </x:c>
      <x:c r="D13" s="27" t="str">
        <x:v>Disponibilidad y recuperación</x:v>
      </x:c>
      <x:c r="E13" s="27" t="str">
        <x:v>Pendiente</x:v>
      </x:c>
      <x:c r="F13" s="27" t="str">
        <x:v>Operaciones</x:v>
      </x:c>
      <x:c r="G13" s="30" t="str"/>
    </x:row>
    <x:row r="14" ht="15" hidden="0" customHeight="1">
      <x:c r="A14" s="28" t="str">
        <x:v>D-010</x:v>
      </x:c>
      <x:c r="B14" s="28" t="str">
        <x:v>Identidad</x:v>
      </x:c>
      <x:c r="C14" s="28" t="str">
        <x:v>¿Inicio local, Google o Microsoft?</x:v>
      </x:c>
      <x:c r="D14" s="28" t="str">
        <x:v>Seguridad y administración</x:v>
      </x:c>
      <x:c r="E14" s="28" t="str">
        <x:v>Pendiente</x:v>
      </x:c>
      <x:c r="F14" s="28" t="str">
        <x:v>Arquitectura</x:v>
      </x:c>
      <x:c r="G14" s="31" t="str"/>
    </x:row>
  </x:sheetData>
  <x:mergeCells>
    <x:mergeCell ref="A1:G1"/>
    <x:mergeCell ref="A2:G2"/>
  </x:mergeCells>
  <x:dataValidations count="1">
    <x:dataValidation type="list" sqref="E5:E14">
      <x:formula1>"Pendiente,En análisis,Decidida,Descartada,Bloqueada"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54ea1909df43e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36" hidden="0" customWidth="1"/>
    <x:col min="4" max="4" width="34" hidden="0" customWidth="1"/>
    <x:col min="5" max="5" width="38" hidden="0" customWidth="1"/>
  </x:cols>
  <x:sheetData>
    <x:row r="1" ht="30" customHeight="1">
      <x:c r="A1" s="3" t="str">
        <x:v>Matriz de actores y acceso</x:v>
      </x:c>
      <x:c r="B1" s="3"/>
      <x:c r="C1" s="3"/>
      <x:c r="D1" s="3"/>
      <x:c r="E1" s="3"/>
    </x:row>
    <x:row r="2" ht="28" customHeight="1">
      <x:c r="A2" s="7" t="str">
        <x:v>Base para journeys, permisos, pruebas de autorización y capacitación.</x:v>
      </x:c>
      <x:c r="B2" s="7"/>
      <x:c r="C2" s="7"/>
      <x:c r="D2" s="7"/>
      <x:c r="E2" s="7"/>
    </x:row>
    <x:row r="4" ht="30" customHeight="1">
      <x:c r="A4" s="16" t="str">
        <x:v>Actor</x:v>
      </x:c>
      <x:c r="B4" s="17" t="str">
        <x:v>Necesidad principal</x:v>
      </x:c>
      <x:c r="C4" s="17" t="str">
        <x:v>Canal / sistema</x:v>
      </x:c>
      <x:c r="D4" s="17" t="str">
        <x:v>Alcance de datos</x:v>
      </x:c>
      <x:c r="E4" s="18" t="str">
        <x:v>Observaciones</x:v>
      </x:c>
    </x:row>
    <x:row r="5" ht="15" hidden="0" customHeight="1">
      <x:c r="A5" s="26" t="str">
        <x:v>Visitante</x:v>
      </x:c>
      <x:c r="B5" s="26" t="str">
        <x:v>Buscar y comparar propiedades</x:v>
      </x:c>
      <x:c r="C5" s="26" t="str">
        <x:v>Sitio público</x:v>
      </x:c>
      <x:c r="D5" s="26" t="str">
        <x:v>Pública</x:v>
      </x:c>
      <x:c r="E5" s="26" t="str"/>
    </x:row>
    <x:row r="6" ht="15" hidden="0" customHeight="1">
      <x:c r="A6" s="27" t="str">
        <x:v>Prospecto</x:v>
      </x:c>
      <x:c r="B6" s="27" t="str">
        <x:v>Consultar, dejar datos y coordinar contacto</x:v>
      </x:c>
      <x:c r="C6" s="27" t="str">
        <x:v>Sitio y canales conversacionales</x:v>
      </x:c>
      <x:c r="D6" s="27" t="str">
        <x:v>Pública / consentida</x:v>
      </x:c>
      <x:c r="E6" s="27" t="str"/>
    </x:row>
    <x:row r="7" ht="15" hidden="0" customHeight="1">
      <x:c r="A7" s="27" t="str">
        <x:v>Corredor o ejecutivo</x:v>
      </x:c>
      <x:c r="B7" s="27" t="str">
        <x:v>Gestionar propiedades, leads y actividades</x:v>
      </x:c>
      <x:c r="C7" s="27" t="str">
        <x:v>Aplicación interna</x:v>
      </x:c>
      <x:c r="D7" s="27" t="str">
        <x:v>Según asignación y rol</x:v>
      </x:c>
      <x:c r="E7" s="27" t="str"/>
    </x:row>
    <x:row r="8" ht="15" hidden="0" customHeight="1">
      <x:c r="A8" s="27" t="str">
        <x:v>Supervisor comercial</x:v>
      </x:c>
      <x:c r="B8" s="27" t="str">
        <x:v>Distribuir trabajo y revisar embudo</x:v>
      </x:c>
      <x:c r="C8" s="27" t="str">
        <x:v>CRM y reportes</x:v>
      </x:c>
      <x:c r="D8" s="27" t="str">
        <x:v>Organización / equipo</x:v>
      </x:c>
      <x:c r="E8" s="27" t="str"/>
    </x:row>
    <x:row r="9" ht="15" hidden="0" customHeight="1">
      <x:c r="A9" s="27" t="str">
        <x:v>Administrador</x:v>
      </x:c>
      <x:c r="B9" s="27" t="str">
        <x:v>Configurar usuarios, permisos e integraciones</x:v>
      </x:c>
      <x:c r="C9" s="27" t="str">
        <x:v>Consola administrativa</x:v>
      </x:c>
      <x:c r="D9" s="27" t="str">
        <x:v>Organización</x:v>
      </x:c>
      <x:c r="E9" s="27" t="str"/>
    </x:row>
    <x:row r="10" ht="15" hidden="0" customHeight="1">
      <x:c r="A10" s="27" t="str">
        <x:v>Operaciones / soporte</x:v>
      </x:c>
      <x:c r="B10" s="27" t="str">
        <x:v>Monitorear servicios, respaldos e incidentes</x:v>
      </x:c>
      <x:c r="C10" s="27" t="str">
        <x:v>Herramientas operativas</x:v>
      </x:c>
      <x:c r="D10" s="27" t="str">
        <x:v>Técnico restringido</x:v>
      </x:c>
      <x:c r="E10" s="27" t="str"/>
    </x:row>
    <x:row r="11" ht="15" hidden="0" customHeight="1">
      <x:c r="A11" s="28" t="str">
        <x:v>Agente de IA</x:v>
      </x:c>
      <x:c r="B11" s="28" t="str">
        <x:v>Consultar oferta autorizada y registrar interacciones</x:v>
      </x:c>
      <x:c r="C11" s="28" t="str">
        <x:v>API restringida por herramientas</x:v>
      </x:c>
      <x:c r="D11" s="28" t="str">
        <x:v>Campos publicables y consentidos</x:v>
      </x:c>
      <x:c r="E11" s="28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9df324dd46845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65" hidden="0" customWidth="1"/>
    <x:col min="3" max="3" width="12" hidden="0" customWidth="1"/>
    <x:col min="4" max="4" width="25" hidden="0" customWidth="1"/>
    <x:col min="5" max="5" width="28" hidden="0" customWidth="1"/>
    <x:col min="6" max="6" width="20" hidden="0" customWidth="1"/>
    <x:col min="7" max="7" width="20" hidden="0" customWidth="1"/>
  </x:cols>
  <x:sheetData>
    <x:row r="1" ht="30" customHeight="1">
      <x:c r="A1" s="3" t="str">
        <x:v>Matriz de trazabilidad</x:v>
      </x:c>
      <x:c r="B1" s="3"/>
      <x:c r="C1" s="3"/>
      <x:c r="D1" s="3"/>
      <x:c r="E1" s="3"/>
      <x:c r="F1" s="3"/>
      <x:c r="G1" s="3"/>
    </x:row>
    <x:row r="2" ht="28" customHeight="1">
      <x:c r="A2" s="7" t="str">
        <x:v>Complete Historia, Prueba, Release y Evidencia para mantener el vínculo Requisito → Implementación → Verificación.</x:v>
      </x:c>
      <x:c r="B2" s="7"/>
      <x:c r="C2" s="7"/>
      <x:c r="D2" s="7"/>
      <x:c r="E2" s="7"/>
      <x:c r="F2" s="7"/>
      <x:c r="G2" s="7"/>
    </x:row>
    <x:row r="4" ht="30" customHeight="1">
      <x:c r="A4" s="16" t="str">
        <x:v>Requisito</x:v>
      </x:c>
      <x:c r="B4" s="17" t="str">
        <x:v>Descripción</x:v>
      </x:c>
      <x:c r="C4" s="17" t="str">
        <x:v>Épica</x:v>
      </x:c>
      <x:c r="D4" s="17" t="str">
        <x:v>Historia(s)</x:v>
      </x:c>
      <x:c r="E4" s="17" t="str">
        <x:v>Prueba(s)</x:v>
      </x:c>
      <x:c r="F4" s="17" t="str">
        <x:v>Release</x:v>
      </x:c>
      <x:c r="G4" s="18" t="str">
        <x:v>Estado de verificación</x:v>
      </x:c>
    </x:row>
    <x:row r="5" ht="15" hidden="0" customHeight="1">
      <x:c r="A5" s="26" t="str">
        <x:v>RF-01</x:v>
      </x:c>
      <x:c r="B5" s="26" t="str">
        <x:v>Administrar usuarios, roles y estado de acceso</x:v>
      </x:c>
      <x:c r="C5" s="26" t="str">
        <x:v>EP-03</x:v>
      </x:c>
      <x:c r="D5" s="26" t="str"/>
      <x:c r="E5" s="26" t="str"/>
      <x:c r="F5" s="26" t="str"/>
      <x:c r="G5" s="26" t="str">
        <x:v>Pendiente</x:v>
      </x:c>
    </x:row>
    <x:row r="6" ht="15" hidden="0" customHeight="1">
      <x:c r="A6" s="27" t="str">
        <x:v>RF-02</x:v>
      </x:c>
      <x:c r="B6" s="27" t="str">
        <x:v>Crear, editar, validar y archivar propiedades</x:v>
      </x:c>
      <x:c r="C6" s="27" t="str">
        <x:v>EP-04</x:v>
      </x:c>
      <x:c r="D6" s="27" t="str"/>
      <x:c r="E6" s="27" t="str"/>
      <x:c r="F6" s="27" t="str"/>
      <x:c r="G6" s="27" t="str">
        <x:v>Pendiente</x:v>
      </x:c>
    </x:row>
    <x:row r="7" ht="15" hidden="0" customHeight="1">
      <x:c r="A7" s="27" t="str">
        <x:v>RF-03</x:v>
      </x:c>
      <x:c r="B7" s="27" t="str">
        <x:v>Gestionar imágenes y documentos autorizados</x:v>
      </x:c>
      <x:c r="C7" s="27" t="str">
        <x:v>EP-04</x:v>
      </x:c>
      <x:c r="D7" s="27" t="str"/>
      <x:c r="E7" s="27" t="str"/>
      <x:c r="F7" s="27" t="str"/>
      <x:c r="G7" s="27" t="str">
        <x:v>Pendiente</x:v>
      </x:c>
    </x:row>
    <x:row r="8" ht="15" hidden="0" customHeight="1">
      <x:c r="A8" s="27" t="str">
        <x:v>RF-04</x:v>
      </x:c>
      <x:c r="B8" s="27" t="str">
        <x:v>Publicar o retirar una propiedad en la web</x:v>
      </x:c>
      <x:c r="C8" s="27" t="str">
        <x:v>EP-04</x:v>
      </x:c>
      <x:c r="D8" s="27" t="str"/>
      <x:c r="E8" s="27" t="str"/>
      <x:c r="F8" s="27" t="str"/>
      <x:c r="G8" s="27" t="str">
        <x:v>Pendiente</x:v>
      </x:c>
    </x:row>
    <x:row r="9" ht="15" hidden="0" customHeight="1">
      <x:c r="A9" s="27" t="str">
        <x:v>RF-05</x:v>
      </x:c>
      <x:c r="B9" s="27" t="str">
        <x:v>Buscar y filtrar propiedades públicas</x:v>
      </x:c>
      <x:c r="C9" s="27" t="str">
        <x:v>EP-05</x:v>
      </x:c>
      <x:c r="D9" s="27" t="str"/>
      <x:c r="E9" s="27" t="str"/>
      <x:c r="F9" s="27" t="str"/>
      <x:c r="G9" s="27" t="str">
        <x:v>Pendiente</x:v>
      </x:c>
    </x:row>
    <x:row r="10" ht="15" hidden="0" customHeight="1">
      <x:c r="A10" s="27" t="str">
        <x:v>RF-06</x:v>
      </x:c>
      <x:c r="B10" s="27" t="str">
        <x:v>Registrar contactos y consentimiento</x:v>
      </x:c>
      <x:c r="C10" s="27" t="str">
        <x:v>EP-06</x:v>
      </x:c>
      <x:c r="D10" s="27" t="str"/>
      <x:c r="E10" s="27" t="str"/>
      <x:c r="F10" s="27" t="str"/>
      <x:c r="G10" s="27" t="str">
        <x:v>Pendiente</x:v>
      </x:c>
    </x:row>
    <x:row r="11" ht="15" hidden="0" customHeight="1">
      <x:c r="A11" s="27" t="str">
        <x:v>RF-07</x:v>
      </x:c>
      <x:c r="B11" s="27" t="str">
        <x:v>Gestionar leads, oportunidades, etapas y responsables</x:v>
      </x:c>
      <x:c r="C11" s="27" t="str">
        <x:v>EP-06</x:v>
      </x:c>
      <x:c r="D11" s="27" t="str"/>
      <x:c r="E11" s="27" t="str"/>
      <x:c r="F11" s="27" t="str"/>
      <x:c r="G11" s="27" t="str">
        <x:v>Pendiente</x:v>
      </x:c>
    </x:row>
    <x:row r="12" ht="15" hidden="0" customHeight="1">
      <x:c r="A12" s="27" t="str">
        <x:v>RF-08</x:v>
      </x:c>
      <x:c r="B12" s="27" t="str">
        <x:v>Registrar notas, tareas, llamadas, mensajes y visitas</x:v>
      </x:c>
      <x:c r="C12" s="27" t="str">
        <x:v>EP-06</x:v>
      </x:c>
      <x:c r="D12" s="27" t="str"/>
      <x:c r="E12" s="27" t="str"/>
      <x:c r="F12" s="27" t="str"/>
      <x:c r="G12" s="27" t="str">
        <x:v>Pendiente</x:v>
      </x:c>
    </x:row>
    <x:row r="13" ht="15" hidden="0" customHeight="1">
      <x:c r="A13" s="27" t="str">
        <x:v>RF-09</x:v>
      </x:c>
      <x:c r="B13" s="27" t="str">
        <x:v>Atender consultas con IA usando datos autorizados</x:v>
      </x:c>
      <x:c r="C13" s="27" t="str">
        <x:v>EP-07</x:v>
      </x:c>
      <x:c r="D13" s="27" t="str"/>
      <x:c r="E13" s="27" t="str"/>
      <x:c r="F13" s="27" t="str"/>
      <x:c r="G13" s="27" t="str">
        <x:v>Pendiente</x:v>
      </x:c>
    </x:row>
    <x:row r="14" ht="15" hidden="0" customHeight="1">
      <x:c r="A14" s="27" t="str">
        <x:v>RF-10</x:v>
      </x:c>
      <x:c r="B14" s="27" t="str">
        <x:v>Derivar conversaciones a una persona con contexto</x:v>
      </x:c>
      <x:c r="C14" s="27" t="str">
        <x:v>EP-07</x:v>
      </x:c>
      <x:c r="D14" s="27" t="str"/>
      <x:c r="E14" s="27" t="str"/>
      <x:c r="F14" s="27" t="str"/>
      <x:c r="G14" s="27" t="str">
        <x:v>Pendiente</x:v>
      </x:c>
    </x:row>
    <x:row r="15" ht="15" hidden="0" customHeight="1">
      <x:c r="A15" s="27" t="str">
        <x:v>RF-11</x:v>
      </x:c>
      <x:c r="B15" s="27" t="str">
        <x:v>Medir fuentes, tiempos y conversión del embudo</x:v>
      </x:c>
      <x:c r="C15" s="27" t="str">
        <x:v>EP-08</x:v>
      </x:c>
      <x:c r="D15" s="27" t="str"/>
      <x:c r="E15" s="27" t="str"/>
      <x:c r="F15" s="27" t="str"/>
      <x:c r="G15" s="27" t="str">
        <x:v>Pendiente</x:v>
      </x:c>
    </x:row>
    <x:row r="16" ht="15" hidden="0" customHeight="1">
      <x:c r="A16" s="27" t="str">
        <x:v>RF-12</x:v>
      </x:c>
      <x:c r="B16" s="27" t="str">
        <x:v>Notificar asignaciones y tareas vencidas</x:v>
      </x:c>
      <x:c r="C16" s="27" t="str">
        <x:v>EP-06</x:v>
      </x:c>
      <x:c r="D16" s="27" t="str"/>
      <x:c r="E16" s="27" t="str"/>
      <x:c r="F16" s="27" t="str"/>
      <x:c r="G16" s="27" t="str">
        <x:v>Pendiente</x:v>
      </x:c>
    </x:row>
    <x:row r="17" ht="15" hidden="0" customHeight="1">
      <x:c r="A17" s="27" t="str">
        <x:v>RF-13</x:v>
      </x:c>
      <x:c r="B17" s="27" t="str">
        <x:v>Importar y exportar datos con validación</x:v>
      </x:c>
      <x:c r="C17" s="27" t="str">
        <x:v>EP-04</x:v>
      </x:c>
      <x:c r="D17" s="27" t="str"/>
      <x:c r="E17" s="27" t="str"/>
      <x:c r="F17" s="27" t="str"/>
      <x:c r="G17" s="27" t="str">
        <x:v>Pendiente</x:v>
      </x:c>
    </x:row>
    <x:row r="18" ht="15" hidden="0" customHeight="1">
      <x:c r="A18" s="27" t="str">
        <x:v>RF-14</x:v>
      </x:c>
      <x:c r="B18" s="27" t="str">
        <x:v>Integrar calendarios y canales externos</x:v>
      </x:c>
      <x:c r="C18" s="27" t="str">
        <x:v>EP-06</x:v>
      </x:c>
      <x:c r="D18" s="27" t="str"/>
      <x:c r="E18" s="27" t="str"/>
      <x:c r="F18" s="27" t="str"/>
      <x:c r="G18" s="27" t="str">
        <x:v>Pendiente</x:v>
      </x:c>
    </x:row>
    <x:row r="19" ht="15" hidden="0" customHeight="1">
      <x:c r="A19" s="27" t="str">
        <x:v>RNF-01</x:v>
      </x:c>
      <x:c r="B19" s="27" t="str">
        <x:v>TLS, mínimo privilegio, secretos fuera del código, auditoría y MFA de administradores</x:v>
      </x:c>
      <x:c r="C19" s="27" t="str">
        <x:v>EP-02</x:v>
      </x:c>
      <x:c r="D19" s="27" t="str"/>
      <x:c r="E19" s="27" t="str"/>
      <x:c r="F19" s="27" t="str"/>
      <x:c r="G19" s="27" t="str">
        <x:v>Pendiente</x:v>
      </x:c>
    </x:row>
    <x:row r="20" ht="15" hidden="0" customHeight="1">
      <x:c r="A20" s="27" t="str">
        <x:v>RNF-02</x:v>
      </x:c>
      <x:c r="B20" s="27" t="str">
        <x:v>Consentimiento trazable, minimización y redacción de datos en logs</x:v>
      </x:c>
      <x:c r="C20" s="27" t="str">
        <x:v>EP-02</x:v>
      </x:c>
      <x:c r="D20" s="27" t="str"/>
      <x:c r="E20" s="27" t="str"/>
      <x:c r="F20" s="27" t="str"/>
      <x:c r="G20" s="27" t="str">
        <x:v>Pendiente</x:v>
      </x:c>
    </x:row>
    <x:row r="21" ht="15" hidden="0" customHeight="1">
      <x:c r="A21" s="27" t="str">
        <x:v>RNF-03</x:v>
      </x:c>
      <x:c r="B21" s="27" t="str">
        <x:v>Disponibilidad objetivo inicial de 99,5% mensual</x:v>
      </x:c>
      <x:c r="C21" s="27" t="str">
        <x:v>EP-08</x:v>
      </x:c>
      <x:c r="D21" s="27" t="str"/>
      <x:c r="E21" s="27" t="str"/>
      <x:c r="F21" s="27" t="str"/>
      <x:c r="G21" s="27" t="str">
        <x:v>Pendiente</x:v>
      </x:c>
    </x:row>
    <x:row r="22" ht="15" hidden="0" customHeight="1">
      <x:c r="A22" s="27" t="str">
        <x:v>RNF-04</x:v>
      </x:c>
      <x:c r="B22" s="27" t="str">
        <x:v>p95 menor a 2 s en consultas web normales</x:v>
      </x:c>
      <x:c r="C22" s="27" t="str">
        <x:v>EP-08</x:v>
      </x:c>
      <x:c r="D22" s="27" t="str"/>
      <x:c r="E22" s="27" t="str"/>
      <x:c r="F22" s="27" t="str"/>
      <x:c r="G22" s="27" t="str">
        <x:v>Pendiente</x:v>
      </x:c>
    </x:row>
    <x:row r="23" ht="15" hidden="0" customHeight="1">
      <x:c r="A23" s="27" t="str">
        <x:v>RNF-05</x:v>
      </x:c>
      <x:c r="B23" s="27" t="str">
        <x:v>RPO 24 h y RTO 4 h, sujetos a validación</x:v>
      </x:c>
      <x:c r="C23" s="27" t="str">
        <x:v>EP-08</x:v>
      </x:c>
      <x:c r="D23" s="27" t="str"/>
      <x:c r="E23" s="27" t="str"/>
      <x:c r="F23" s="27" t="str"/>
      <x:c r="G23" s="27" t="str">
        <x:v>Pendiente</x:v>
      </x:c>
    </x:row>
    <x:row r="24" ht="15" hidden="0" customHeight="1">
      <x:c r="A24" s="27" t="str">
        <x:v>RNF-06</x:v>
      </x:c>
      <x:c r="B24" s="27" t="str">
        <x:v>Interfaz pública orientada a WCAG 2.2 AA</x:v>
      </x:c>
      <x:c r="C24" s="27" t="str">
        <x:v>EP-05</x:v>
      </x:c>
      <x:c r="D24" s="27" t="str"/>
      <x:c r="E24" s="27" t="str"/>
      <x:c r="F24" s="27" t="str"/>
      <x:c r="G24" s="27" t="str">
        <x:v>Pendiente</x:v>
      </x:c>
    </x:row>
    <x:row r="25" ht="15" hidden="0" customHeight="1">
      <x:c r="A25" s="27" t="str">
        <x:v>RNF-07</x:v>
      </x:c>
      <x:c r="B25" s="27" t="str">
        <x:v>Logs estructurados, métricas, correlación y alertas accionables</x:v>
      </x:c>
      <x:c r="C25" s="27" t="str">
        <x:v>EP-08</x:v>
      </x:c>
      <x:c r="D25" s="27" t="str"/>
      <x:c r="E25" s="27" t="str"/>
      <x:c r="F25" s="27" t="str"/>
      <x:c r="G25" s="27" t="str">
        <x:v>Pendiente</x:v>
      </x:c>
    </x:row>
    <x:row r="26" ht="15" hidden="0" customHeight="1">
      <x:c r="A26" s="27" t="str">
        <x:v>RNF-08</x:v>
      </x:c>
      <x:c r="B26" s="27" t="str">
        <x:v>Pruebas automatizadas, migraciones versionadas y documentación de decisiones</x:v>
      </x:c>
      <x:c r="C26" s="27" t="str">
        <x:v>EP-02</x:v>
      </x:c>
      <x:c r="D26" s="27" t="str"/>
      <x:c r="E26" s="27" t="str"/>
      <x:c r="F26" s="27" t="str"/>
      <x:c r="G26" s="27" t="str">
        <x:v>Pendiente</x:v>
      </x:c>
    </x:row>
    <x:row r="27" ht="15" hidden="0" customHeight="1">
      <x:c r="A27" s="27" t="str">
        <x:v>RNF-09</x:v>
      </x:c>
      <x:c r="B27" s="27" t="str">
        <x:v>Web adaptable para navegadores principales vigentes</x:v>
      </x:c>
      <x:c r="C27" s="27" t="str">
        <x:v>EP-05</x:v>
      </x:c>
      <x:c r="D27" s="27" t="str"/>
      <x:c r="E27" s="27" t="str"/>
      <x:c r="F27" s="27" t="str"/>
      <x:c r="G27" s="27" t="str">
        <x:v>Pendiente</x:v>
      </x:c>
    </x:row>
    <x:row r="28" ht="15" hidden="0" customHeight="1">
      <x:c r="A28" s="28" t="str">
        <x:v>RNF-10</x:v>
      </x:c>
      <x:c r="B28" s="28" t="str">
        <x:v>IA con fuentes trazables, límites de herramienta, evaluación y derivación segura</x:v>
      </x:c>
      <x:c r="C28" s="28" t="str">
        <x:v>EP-07</x:v>
      </x:c>
      <x:c r="D28" s="28" t="str"/>
      <x:c r="E28" s="28" t="str"/>
      <x:c r="F28" s="28" t="str"/>
      <x:c r="G28" s="28" t="str">
        <x:v>Pendiente</x:v>
      </x:c>
    </x:row>
  </x:sheetData>
  <x:mergeCells>
    <x:mergeCell ref="A1:G1"/>
    <x:mergeCell ref="A2:G2"/>
  </x:mergeCells>
  <x:dataValidations count="1">
    <x:dataValidation type="list" sqref="G5:G28">
      <x:formula1>"Pendiente,Cubierto,Verificado,No aplica,Bloqueado"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f647d3adb14ea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3" t="str">
        <x:v>Catálogos de cálculo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Escalas editables utilizadas por el registro de riesgos.</x:v>
      </x:c>
      <x:c r="B2" s="7"/>
      <x:c r="C2" s="7"/>
      <x:c r="D2" s="7"/>
      <x:c r="E2" s="7"/>
      <x:c r="F2" s="7"/>
      <x:c r="G2" s="7"/>
      <x:c r="H2" s="7"/>
    </x:row>
    <x:row r="4">
      <x:c r="A4" s="34" t="str">
        <x:v>Probabilidad</x:v>
      </x:c>
      <x:c r="B4" s="34" t="str">
        <x:v>Valor</x:v>
      </x:c>
      <x:c r="D4" s="34" t="str">
        <x:v>Impacto</x:v>
      </x:c>
      <x:c r="E4" s="34" t="str">
        <x:v>Valor</x:v>
      </x:c>
      <x:c r="G4" s="34" t="str">
        <x:v>Puntaje mínimo</x:v>
      </x:c>
      <x:c r="H4" s="34" t="str">
        <x:v>Nivel</x:v>
      </x:c>
    </x:row>
    <x:row r="5">
      <x:c r="A5" s="32" t="str">
        <x:v>Baja</x:v>
      </x:c>
      <x:c r="B5" s="32" t="n">
        <x:v>1</x:v>
      </x:c>
      <x:c r="D5" s="32" t="str">
        <x:v>Bajo</x:v>
      </x:c>
      <x:c r="E5" s="32" t="n">
        <x:v>1</x:v>
      </x:c>
      <x:c r="G5" s="32" t="n">
        <x:v>1</x:v>
      </x:c>
      <x:c r="H5" s="32" t="str">
        <x:v>Bajo</x:v>
      </x:c>
    </x:row>
    <x:row r="6">
      <x:c r="A6" s="32" t="str">
        <x:v>Media</x:v>
      </x:c>
      <x:c r="B6" s="32" t="n">
        <x:v>2</x:v>
      </x:c>
      <x:c r="D6" s="32" t="str">
        <x:v>Medio</x:v>
      </x:c>
      <x:c r="E6" s="32" t="n">
        <x:v>2</x:v>
      </x:c>
      <x:c r="G6" s="32" t="n">
        <x:v>3</x:v>
      </x:c>
      <x:c r="H6" s="32" t="str">
        <x:v>Medio</x:v>
      </x:c>
    </x:row>
    <x:row r="7">
      <x:c r="A7" s="32" t="str">
        <x:v>Alta</x:v>
      </x:c>
      <x:c r="B7" s="32" t="n">
        <x:v>3</x:v>
      </x:c>
      <x:c r="D7" s="32" t="str">
        <x:v>Alto</x:v>
      </x:c>
      <x:c r="E7" s="32" t="n">
        <x:v>3</x:v>
      </x:c>
      <x:c r="G7" s="32" t="n">
        <x:v>6</x:v>
      </x:c>
      <x:c r="H7" s="32" t="str">
        <x:v>Alto</x:v>
      </x:c>
    </x:row>
    <x:row r="8">
      <x:c r="D8" s="32" t="str">
        <x:v>Crítico</x:v>
      </x:c>
      <x:c r="E8" s="32" t="n">
        <x:v>4</x:v>
      </x:c>
      <x:c r="G8" s="32" t="n">
        <x:v>9</x:v>
      </x:c>
      <x:c r="H8" s="32" t="str">
        <x:v>Crítico</x:v>
      </x:c>
    </x:row>
  </x:sheetData>
  <x:mergeCells>
    <x:mergeCell ref="A1:H1"/>
    <x:mergeCell ref="A2:H2"/>
  </x:mergeCells>
  <x:pageMargins left="0.7" right="0.7" top="0.75" bottom="0.75" header="0.3" footer="0.3"/>
</x:worksheet>
</file>
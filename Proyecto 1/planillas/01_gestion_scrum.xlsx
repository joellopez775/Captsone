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735d2dce0e41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cc354284c084a24"/>
    <x:sheet xmlns:r="http://schemas.openxmlformats.org/officeDocument/2006/relationships" name="Backlog" sheetId="2" r:id="R30fd06a00e7b4488"/>
    <x:sheet xmlns:r="http://schemas.openxmlformats.org/officeDocument/2006/relationships" name="Épicas" sheetId="3" r:id="R92cf57f83b224cf0"/>
    <x:sheet xmlns:r="http://schemas.openxmlformats.org/officeDocument/2006/relationships" name="Spikes" sheetId="4" r:id="R3a2b877676d447fd"/>
    <x:sheet xmlns:r="http://schemas.openxmlformats.org/officeDocument/2006/relationships" name="Roadmap" sheetId="5" r:id="R08a97a041ee046e5"/>
    <x:sheet xmlns:r="http://schemas.openxmlformats.org/officeDocument/2006/relationships" name="Sprints" sheetId="6" r:id="R16712b04425548a1"/>
    <x:sheet xmlns:r="http://schemas.openxmlformats.org/officeDocument/2006/relationships" name="Definiciones" sheetId="7" r:id="Rf1641a6f68294e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FFFFFF"/>
      <x:name val="Carlito"/>
    </x:font>
    <x:font>
      <x:sz val="10"/>
      <x:color rgb="FF1D2939"/>
      <x:name val="Carlito"/>
    </x:font>
    <x:font>
      <x:b/>
      <x:sz val="10"/>
      <x:color rgb="FFFFFFFF"/>
      <x:name val="Carlito"/>
    </x:font>
    <x:font>
      <x:b/>
      <x:sz val="20"/>
      <x:color rgb="FF17324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12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3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3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7" xfId="0" applyNumberFormat="1" applyFont="1" applyFill="1" applyBorder="1"/>
    <x:xf numFmtId="0" fontId="6" fillId="3" borderId="8" xfId="0" applyNumberFormat="1" applyFont="1" applyFill="1" applyBorder="1"/>
    <x:xf numFmtId="0" fontId="6" fillId="3" borderId="9" xfId="0" applyNumberFormat="1" applyFont="1" applyFill="1" applyBorder="1"/>
    <x:xf numFmtId="0" fontId="6" fillId="3" borderId="10" xfId="0" applyNumberFormat="1" applyFont="1" applyFill="1" applyBorder="1"/>
    <x:xf numFmtId="0" fontId="6" fillId="3" borderId="7" xfId="0" applyNumberFormat="1" applyFont="1" applyFill="1" applyBorder="1" applyAlignment="1">
      <x:alignment horizontal="center"/>
    </x:xf>
    <x:xf numFmtId="0" fontId="6" fillId="3" borderId="8" xfId="0" applyNumberFormat="1" applyFont="1" applyFill="1" applyBorder="1" applyAlignment="1">
      <x:alignment horizontal="center"/>
    </x:xf>
    <x:xf numFmtId="0" fontId="6" fillId="3" borderId="9" xfId="0" applyNumberFormat="1" applyFont="1" applyFill="1" applyBorder="1" applyAlignment="1">
      <x:alignment horizontal="center"/>
    </x:xf>
    <x:xf numFmtId="0" fontId="6" fillId="3" borderId="10" xfId="0" applyNumberFormat="1" applyFont="1" applyFill="1" applyBorder="1" applyAlignment="1">
      <x:alignment horizontal="center"/>
    </x:xf>
    <x:xf numFmtId="0" fontId="6" fillId="3" borderId="7" xfId="0" applyNumberFormat="1" applyFont="1" applyFill="1" applyBorder="1" applyAlignment="1">
      <x:alignment horizontal="center" vertical="center"/>
    </x:xf>
    <x:xf numFmtId="0" fontId="6" fillId="3" borderId="8" xfId="0" applyNumberFormat="1" applyFont="1" applyFill="1" applyBorder="1" applyAlignment="1">
      <x:alignment horizontal="center" vertical="center"/>
    </x:xf>
    <x:xf numFmtId="0" fontId="6" fillId="3" borderId="9" xfId="0" applyNumberFormat="1" applyFont="1" applyFill="1" applyBorder="1" applyAlignment="1">
      <x:alignment horizontal="center" vertical="center"/>
    </x:xf>
    <x:xf numFmtId="0" fontId="6" fillId="3" borderId="1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7" xfId="0" applyNumberFormat="1" applyFont="1" applyFill="1" applyBorder="1" applyAlignment="1">
      <x:alignment horizontal="center"/>
    </x:xf>
    <x:xf numFmtId="0" fontId="6" fillId="5" borderId="8" xfId="0" applyNumberFormat="1" applyFont="1" applyFill="1" applyBorder="1" applyAlignment="1">
      <x:alignment horizontal="center"/>
    </x:xf>
    <x:xf numFmtId="0" fontId="6" fillId="5" borderId="9" xfId="0" applyNumberFormat="1" applyFont="1" applyFill="1" applyBorder="1" applyAlignment="1">
      <x:alignment horizontal="center"/>
    </x:xf>
    <x:xf numFmtId="0" fontId="6" fillId="5" borderId="10" xfId="0" applyNumberFormat="1" applyFont="1" applyFill="1" applyBorder="1" applyAlignment="1">
      <x:alignment horizontal="center"/>
    </x:xf>
    <x:xf numFmtId="0" fontId="6" fillId="5" borderId="7" xfId="0" applyNumberFormat="1" applyFont="1" applyFill="1" applyBorder="1" applyAlignment="1">
      <x:alignment horizontal="center" vertical="center"/>
    </x:xf>
    <x:xf numFmtId="0" fontId="6" fillId="5" borderId="8" xfId="0" applyNumberFormat="1" applyFont="1" applyFill="1" applyBorder="1" applyAlignment="1">
      <x:alignment horizontal="center" vertical="center"/>
    </x:xf>
    <x:xf numFmtId="0" fontId="6" fillId="5" borderId="9" xfId="0" applyNumberFormat="1" applyFont="1" applyFill="1" applyBorder="1" applyAlignment="1">
      <x:alignment horizontal="center" vertical="center"/>
    </x:xf>
    <x:xf numFmtId="0" fontId="6" fillId="5" borderId="1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7" xfId="0" applyNumberFormat="1" applyFont="1" applyFill="1" applyBorder="1" applyAlignment="1">
      <x:alignment horizontal="center"/>
    </x:xf>
    <x:xf numFmtId="0" fontId="6" fillId="6" borderId="8" xfId="0" applyNumberFormat="1" applyFont="1" applyFill="1" applyBorder="1" applyAlignment="1">
      <x:alignment horizontal="center"/>
    </x:xf>
    <x:xf numFmtId="0" fontId="6" fillId="6" borderId="9" xfId="0" applyNumberFormat="1" applyFont="1" applyFill="1" applyBorder="1" applyAlignment="1">
      <x:alignment horizontal="center"/>
    </x:xf>
    <x:xf numFmtId="0" fontId="6" fillId="6" borderId="10" xfId="0" applyNumberFormat="1" applyFont="1" applyFill="1" applyBorder="1" applyAlignment="1">
      <x:alignment horizontal="center"/>
    </x:xf>
    <x:xf numFmtId="0" fontId="6" fillId="6" borderId="7" xfId="0" applyNumberFormat="1" applyFont="1" applyFill="1" applyBorder="1" applyAlignment="1">
      <x:alignment horizontal="center" vertical="center"/>
    </x:xf>
    <x:xf numFmtId="0" fontId="6" fillId="6" borderId="8" xfId="0" applyNumberFormat="1" applyFont="1" applyFill="1" applyBorder="1" applyAlignment="1">
      <x:alignment horizontal="center" vertical="center"/>
    </x:xf>
    <x:xf numFmtId="0" fontId="6" fillId="6" borderId="9" xfId="0" applyNumberFormat="1" applyFont="1" applyFill="1" applyBorder="1" applyAlignment="1">
      <x:alignment horizontal="center" vertical="center"/>
    </x:xf>
    <x:xf numFmtId="0" fontId="6" fillId="6" borderId="1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10" xfId="0" applyNumberFormat="1" applyFont="1" applyFill="1" applyBorder="1"/>
    <x:xf numFmtId="0" fontId="6" fillId="7" borderId="7" xfId="0" applyNumberFormat="1" applyFont="1" applyFill="1" applyBorder="1" applyAlignment="1">
      <x:alignment horizontal="center"/>
    </x:xf>
    <x:xf numFmtId="0" fontId="6" fillId="7" borderId="8" xfId="0" applyNumberFormat="1" applyFont="1" applyFill="1" applyBorder="1" applyAlignment="1">
      <x:alignment horizontal="center"/>
    </x:xf>
    <x:xf numFmtId="0" fontId="6" fillId="7" borderId="9" xfId="0" applyNumberFormat="1" applyFont="1" applyFill="1" applyBorder="1" applyAlignment="1">
      <x:alignment horizontal="center"/>
    </x:xf>
    <x:xf numFmtId="0" fontId="6" fillId="7" borderId="10" xfId="0" applyNumberFormat="1" applyFont="1" applyFill="1" applyBorder="1" applyAlignment="1">
      <x:alignment horizontal="center"/>
    </x:xf>
    <x:xf numFmtId="0" fontId="6" fillId="7" borderId="7" xfId="0" applyNumberFormat="1" applyFont="1" applyFill="1" applyBorder="1" applyAlignment="1">
      <x:alignment horizontal="center" vertical="center"/>
    </x:xf>
    <x:xf numFmtId="0" fontId="6" fillId="7" borderId="8" xfId="0" applyNumberFormat="1" applyFont="1" applyFill="1" applyBorder="1" applyAlignment="1">
      <x:alignment horizontal="center" vertical="center"/>
    </x:xf>
    <x:xf numFmtId="0" fontId="6" fillId="7" borderId="9" xfId="0" applyNumberFormat="1" applyFont="1" applyFill="1" applyBorder="1" applyAlignment="1">
      <x:alignment horizontal="center" vertical="center"/>
    </x:xf>
    <x:xf numFmtId="0" fontId="6" fillId="7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/>
    <x:xf numFmtId="0" fontId="0" fillId="4" borderId="11" xfId="0" applyNumberFormat="1" applyFont="1" applyFill="1" applyBorder="1"/>
    <x:xf numFmtId="0" fontId="3" fillId="4" borderId="11" xfId="0" applyNumberFormat="1" applyFont="1" applyFill="1" applyBorder="1"/>
  </x:cellXfs>
  <x:cellStyles count="1">
    <x:cellStyle name="Normal" xfId="0"/>
  </x:cellStyles>
  <x:dxfs count="3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a9cccbbab84b23" /><Relationship Type="http://schemas.openxmlformats.org/officeDocument/2006/relationships/theme" Target="/xl/theme/theme1.xml" Id="Rf770087f4f534ba9" /><Relationship Type="http://schemas.openxmlformats.org/officeDocument/2006/relationships/sharedStrings" Target="/xl/sharedStrings.xml" Id="R52bc1c8b91d64a9c" /><Relationship Type="http://schemas.openxmlformats.org/officeDocument/2006/relationships/worksheet" Target="/xl/worksheets/sheet1.xml" Id="Rccc354284c084a24" /><Relationship Type="http://schemas.openxmlformats.org/officeDocument/2006/relationships/worksheet" Target="/xl/worksheets/sheet2.xml" Id="R30fd06a00e7b4488" /><Relationship Type="http://schemas.openxmlformats.org/officeDocument/2006/relationships/worksheet" Target="/xl/worksheets/sheet3.xml" Id="R92cf57f83b224cf0" /><Relationship Type="http://schemas.openxmlformats.org/officeDocument/2006/relationships/worksheet" Target="/xl/worksheets/sheet4.xml" Id="R3a2b877676d447fd" /><Relationship Type="http://schemas.openxmlformats.org/officeDocument/2006/relationships/worksheet" Target="/xl/worksheets/sheet5.xml" Id="R08a97a041ee046e5" /><Relationship Type="http://schemas.openxmlformats.org/officeDocument/2006/relationships/worksheet" Target="/xl/worksheets/sheet6.xml" Id="R16712b04425548a1" /><Relationship Type="http://schemas.openxmlformats.org/officeDocument/2006/relationships/worksheet" Target="/xl/worksheets/sheet7.xml" Id="Rf1641a6f68294e9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c8b4d69f100455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Historias por prioridad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Historias</c:v>
          </c:tx>
          <c:cat>
            <c:strRef>
              <c:f>'Dashboard'!$A$13:$A$15</c:f>
              <c:strCache>
                <c:ptCount val="0"/>
              </c:strCache>
            </c:strRef>
          </c:cat>
          <c:val>
            <c:numRef>
              <c:f>'Dashboard'!$B$13:$B$15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8b4d69f100455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crumBacklogTable" displayName="ScrumBacklogTable" ref="A4:K34" headerRowCount="1" totalsRowCount="0" totalsRowShown="0">
  <x:autoFilter ref="A4:K34"/>
  <x:tableColumns count="11">
    <x:tableColumn id="1" name="Orden"/>
    <x:tableColumn id="2" name="ID"/>
    <x:tableColumn id="3" name="Historia"/>
    <x:tableColumn id="4" name="Épica"/>
    <x:tableColumn id="5" name="Prioridad"/>
    <x:tableColumn id="6" name="Puntos"/>
    <x:tableColumn id="7" name="Estado"/>
    <x:tableColumn id="8" name="Sprint"/>
    <x:tableColumn id="9" name="Responsable"/>
    <x:tableColumn id="10" name="Ready"/>
    <x:tableColumn id="11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rumEpicsTable" displayName="ScrumEpicsTable" ref="A4:E12" headerRowCount="1" totalsRowCount="0" totalsRowShown="0">
  <x:autoFilter ref="A4:E12"/>
  <x:tableColumns count="5">
    <x:tableColumn id="1" name="ID"/>
    <x:tableColumn id="2" name="Épica"/>
    <x:tableColumn id="3" name="Resultado esperado"/>
    <x:tableColumn id="4" name="Estado"/>
    <x:tableColumn id="5" name="Responsab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rumSpikesTable" displayName="ScrumSpikesTable" ref="A4:F9" headerRowCount="1" totalsRowCount="0" totalsRowShown="0">
  <x:autoFilter ref="A4:F9"/>
  <x:tableColumns count="6">
    <x:tableColumn id="1" name="ID"/>
    <x:tableColumn id="2" name="Pregunta"/>
    <x:tableColumn id="3" name="Evidencia esperada"/>
    <x:tableColumn id="4" name="Timebox (días)"/>
    <x:tableColumn id="5" name="Estado"/>
    <x:tableColumn id="6" name="Responsab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rumRoadmapTable" displayName="ScrumRoadmapTable" ref="A4:E10" headerRowCount="1" totalsRowCount="0" totalsRowShown="0">
  <x:autoFilter ref="A4:E10"/>
  <x:tableColumns count="5">
    <x:tableColumn id="1" name="Orden"/>
    <x:tableColumn id="2" name="Horizonte"/>
    <x:tableColumn id="3" name="Objetivo"/>
    <x:tableColumn id="4" name="Evidencia de salida"/>
    <x:tableColumn id="5" name="Estad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crumSprintsTable" displayName="ScrumSprintsTable" ref="A4:E12" headerRowCount="1" totalsRowCount="0" totalsRowShown="0">
  <x:autoFilter ref="A4:E12"/>
  <x:tableColumns count="5">
    <x:tableColumn id="1" name="Sprint"/>
    <x:tableColumn id="2" name="Objetivo"/>
    <x:tableColumn id="3" name="Historias candidatas"/>
    <x:tableColumn id="4" name="Resultado / evidencia"/>
    <x:tableColumn id="5" name="Estad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crumDefinitionsTable" displayName="ScrumDefinitionsTable" ref="A4:C18" headerRowCount="1" totalsRowCount="0" totalsRowShown="0">
  <x:autoFilter ref="A4:C18"/>
  <x:tableColumns count="3">
    <x:tableColumn id="1" name="Tipo"/>
    <x:tableColumn id="2" name="Criterio"/>
    <x:tableColumn id="3" name="Aplic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bcadf64d0184d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816e9fe8d645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ca299d1a3b45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7c1d06d95b48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616d20638043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8d41be81804c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ce9d0c100443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8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3" t="str">
        <x:v>Dashboard de planificación Scrum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7" t="str">
        <x:v>Resumen dinámico basado en el Product Backlog. Actualice estados, responsables y Sprints en la hoja Backlog.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10" customHeight="1"/>
    <x:row r="4">
      <x:c r="A4" s="37" t="str">
        <x:v>Historias</x:v>
      </x:c>
      <x:c r="B4" s="38"/>
      <x:c r="D4" s="37" t="str">
        <x:v>Puntos totales</x:v>
      </x:c>
      <x:c r="E4" s="38"/>
    </x:row>
    <x:row r="5">
      <x:c r="A5" s="48" t="n">
        <x:f>COUNTA('Backlog'!$B$5:$B$34)</x:f>
        <x:v>30</x:v>
      </x:c>
      <x:c r="B5" s="49"/>
      <x:c r="D5" s="62" t="n">
        <x:f>SUM('Backlog'!$F$5:$F$34)</x:f>
        <x:v>204</x:v>
      </x:c>
      <x:c r="E5" s="63"/>
    </x:row>
    <x:row r="6">
      <x:c r="A6" s="50"/>
      <x:c r="B6" s="51"/>
      <x:c r="D6" s="64"/>
      <x:c r="E6" s="65"/>
    </x:row>
    <x:row r="8">
      <x:c r="A8" s="37" t="str">
        <x:v>Terminadas</x:v>
      </x:c>
      <x:c r="B8" s="38"/>
      <x:c r="D8" s="37" t="str">
        <x:v>Bloqueadas</x:v>
      </x:c>
      <x:c r="E8" s="38"/>
    </x:row>
    <x:row r="9">
      <x:c r="A9" s="76" t="n">
        <x:f>COUNTIF('Backlog'!$G$5:$G$34,"Terminada")</x:f>
        <x:v>0</x:v>
      </x:c>
      <x:c r="B9" s="77"/>
      <x:c r="D9" s="90" t="n">
        <x:f>COUNTIF('Backlog'!$G$5:$G$34,"Bloqueada")</x:f>
        <x:v>0</x:v>
      </x:c>
      <x:c r="E9" s="91"/>
    </x:row>
    <x:row r="10">
      <x:c r="A10" s="78"/>
      <x:c r="B10" s="79"/>
      <x:c r="D10" s="92"/>
      <x:c r="E10" s="93"/>
    </x:row>
    <x:row r="12">
      <x:c r="A12" s="96" t="str">
        <x:v>Prioridad</x:v>
      </x:c>
      <x:c r="B12" s="96" t="str">
        <x:v>Historias</x:v>
      </x:c>
    </x:row>
    <x:row r="13">
      <x:c r="A13" s="94" t="str">
        <x:v>Must</x:v>
      </x:c>
      <x:c r="B13" s="94" t="n">
        <x:f>COUNTIF('Backlog'!$E$5:$E$34,A13)</x:f>
        <x:v>23</x:v>
      </x:c>
    </x:row>
    <x:row r="14">
      <x:c r="A14" s="94" t="str">
        <x:v>Should</x:v>
      </x:c>
      <x:c r="B14" s="94" t="n">
        <x:f>COUNTIF('Backlog'!$E$5:$E$34,A14)</x:f>
        <x:v>2</x:v>
      </x:c>
    </x:row>
    <x:row r="15">
      <x:c r="A15" s="94" t="str">
        <x:v>Could</x:v>
      </x:c>
      <x:c r="B15" s="94" t="n">
        <x:f>COUNTIF('Backlog'!$E$5:$E$34,A15)</x:f>
        <x:v>5</x:v>
      </x:c>
    </x:row>
  </x:sheetData>
  <x:mergeCells>
    <x:mergeCell ref="A1:N1"/>
    <x:mergeCell ref="A2:N2"/>
    <x:mergeCell ref="A4:B4"/>
    <x:mergeCell ref="A5:B6"/>
    <x:mergeCell ref="D4:E4"/>
    <x:mergeCell ref="D5:E6"/>
    <x:mergeCell ref="A8:B8"/>
    <x:mergeCell ref="A9:B10"/>
    <x:mergeCell ref="D8:E8"/>
    <x:mergeCell ref="D9:E10"/>
  </x:mergeCells>
  <x:pageMargins left="0.7" right="0.7" top="0.75" bottom="0.75" header="0.3" footer="0.3"/>
  <x:drawing xmlns:r="http://schemas.openxmlformats.org/officeDocument/2006/relationships" r:id="R1bcadf64d0184d2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1" hidden="0" customWidth="1"/>
    <x:col min="3" max="3" width="58" hidden="0" customWidth="1"/>
    <x:col min="4" max="4" width="12" hidden="0" customWidth="1"/>
    <x:col min="5" max="5" width="12" hidden="0" customWidth="1"/>
    <x:col min="6" max="6" width="10" hidden="0" customWidth="1"/>
    <x:col min="7" max="7" width="16" hidden="0" customWidth="1"/>
    <x:col min="8" max="8" width="12" hidden="0" customWidth="1"/>
    <x:col min="9" max="9" width="20" hidden="0" customWidth="1"/>
    <x:col min="10" max="10" width="10" hidden="0" customWidth="1"/>
    <x:col min="11" max="11" width="32" hidden="0" customWidth="1"/>
  </x:cols>
  <x:sheetData>
    <x:row r="1" ht="30" customHeight="1">
      <x:c r="A1" s="3" t="str">
        <x:v>Product Backlog inicial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Fuente operativa editable. Las estimaciones son hipótesis y deben revisarse durante el refinamiento.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6" t="str">
        <x:v>Orden</x:v>
      </x:c>
      <x:c r="B4" s="17" t="str">
        <x:v>ID</x:v>
      </x:c>
      <x:c r="C4" s="17" t="str">
        <x:v>Historia</x:v>
      </x:c>
      <x:c r="D4" s="17" t="str">
        <x:v>Épica</x:v>
      </x:c>
      <x:c r="E4" s="17" t="str">
        <x:v>Prioridad</x:v>
      </x:c>
      <x:c r="F4" s="17" t="str">
        <x:v>Puntos</x:v>
      </x:c>
      <x:c r="G4" s="17" t="str">
        <x:v>Estado</x:v>
      </x:c>
      <x:c r="H4" s="17" t="str">
        <x:v>Sprint</x:v>
      </x:c>
      <x:c r="I4" s="17" t="str">
        <x:v>Responsable</x:v>
      </x:c>
      <x:c r="J4" s="17" t="str">
        <x:v>Ready</x:v>
      </x:c>
      <x:c r="K4" s="18" t="str">
        <x:v>Observaciones</x:v>
      </x:c>
    </x:row>
    <x:row r="5" ht="15" hidden="0" customHeight="1">
      <x:c r="A5" s="29" t="n">
        <x:v>1</x:v>
      </x:c>
      <x:c r="B5" s="26" t="str">
        <x:v>US-001</x:v>
      </x:c>
      <x:c r="C5" s="26" t="str">
        <x:v>Como PO, quiero validar el flujo actual y sus métricas para fijar una línea base</x:v>
      </x:c>
      <x:c r="D5" s="26" t="str">
        <x:v>EP-01</x:v>
      </x:c>
      <x:c r="E5" s="26" t="str">
        <x:v>Must</x:v>
      </x:c>
      <x:c r="F5" s="29" t="n">
        <x:v>5</x:v>
      </x:c>
      <x:c r="G5" s="26" t="str">
        <x:v>Pendiente</x:v>
      </x:c>
      <x:c r="H5" s="26" t="str"/>
      <x:c r="I5" s="26" t="str"/>
      <x:c r="J5" s="26" t="str">
        <x:v>No</x:v>
      </x:c>
      <x:c r="K5" s="26" t="str"/>
    </x:row>
    <x:row r="6" ht="24" hidden="0" customHeight="1">
      <x:c r="A6" s="30" t="n">
        <x:v>2</x:v>
      </x:c>
      <x:c r="B6" s="27" t="str">
        <x:v>US-002</x:v>
      </x:c>
      <x:c r="C6" s="27" t="str">
        <x:v>Como equipo, queremos registrar decisiones críticas para controlar supuestos y riesgos</x:v>
      </x:c>
      <x:c r="D6" s="27" t="str">
        <x:v>EP-01</x:v>
      </x:c>
      <x:c r="E6" s="27" t="str">
        <x:v>Must</x:v>
      </x:c>
      <x:c r="F6" s="30" t="n">
        <x:v>3</x:v>
      </x:c>
      <x:c r="G6" s="27" t="str">
        <x:v>Pendiente</x:v>
      </x:c>
      <x:c r="H6" s="27" t="str"/>
      <x:c r="I6" s="27" t="str"/>
      <x:c r="J6" s="27" t="str">
        <x:v>No</x:v>
      </x:c>
      <x:c r="K6" s="27" t="str"/>
    </x:row>
    <x:row r="7" ht="24" hidden="0" customHeight="1">
      <x:c r="A7" s="30" t="n">
        <x:v>3</x:v>
      </x:c>
      <x:c r="B7" s="27" t="str">
        <x:v>US-003</x:v>
      </x:c>
      <x:c r="C7" s="27" t="str">
        <x:v>Como operador, quiero ambientes y entrega automatizada para liberar cambios repetibles</x:v>
      </x:c>
      <x:c r="D7" s="27" t="str">
        <x:v>EP-02</x:v>
      </x:c>
      <x:c r="E7" s="27" t="str">
        <x:v>Must</x:v>
      </x:c>
      <x:c r="F7" s="30" t="n">
        <x:v>8</x:v>
      </x:c>
      <x:c r="G7" s="27" t="str">
        <x:v>Pendiente</x:v>
      </x:c>
      <x:c r="H7" s="27" t="str"/>
      <x:c r="I7" s="27" t="str"/>
      <x:c r="J7" s="27" t="str">
        <x:v>No</x:v>
      </x:c>
      <x:c r="K7" s="27" t="str"/>
    </x:row>
    <x:row r="8" ht="24" hidden="0" customHeight="1">
      <x:c r="A8" s="30" t="n">
        <x:v>4</x:v>
      </x:c>
      <x:c r="B8" s="27" t="str">
        <x:v>US-004</x:v>
      </x:c>
      <x:c r="C8" s="27" t="str">
        <x:v>Como administrador, quiero iniciar sesión de forma segura para acceder a la plataforma</x:v>
      </x:c>
      <x:c r="D8" s="27" t="str">
        <x:v>EP-03</x:v>
      </x:c>
      <x:c r="E8" s="27" t="str">
        <x:v>Must</x:v>
      </x:c>
      <x:c r="F8" s="30" t="n">
        <x:v>5</x:v>
      </x:c>
      <x:c r="G8" s="27" t="str">
        <x:v>Pendiente</x:v>
      </x:c>
      <x:c r="H8" s="27" t="str"/>
      <x:c r="I8" s="27" t="str"/>
      <x:c r="J8" s="27" t="str">
        <x:v>No</x:v>
      </x:c>
      <x:c r="K8" s="27" t="str"/>
    </x:row>
    <x:row r="9" ht="15" hidden="0" customHeight="1">
      <x:c r="A9" s="30" t="n">
        <x:v>5</x:v>
      </x:c>
      <x:c r="B9" s="27" t="str">
        <x:v>US-005</x:v>
      </x:c>
      <x:c r="C9" s="27" t="str">
        <x:v>Como administrador, quiero gestionar usuarios y roles para aplicar mínimo privilegio</x:v>
      </x:c>
      <x:c r="D9" s="27" t="str">
        <x:v>EP-03</x:v>
      </x:c>
      <x:c r="E9" s="27" t="str">
        <x:v>Must</x:v>
      </x:c>
      <x:c r="F9" s="30" t="n">
        <x:v>8</x:v>
      </x:c>
      <x:c r="G9" s="27" t="str">
        <x:v>Pendiente</x:v>
      </x:c>
      <x:c r="H9" s="27" t="str"/>
      <x:c r="I9" s="27" t="str"/>
      <x:c r="J9" s="27" t="str">
        <x:v>No</x:v>
      </x:c>
      <x:c r="K9" s="27" t="str"/>
    </x:row>
    <x:row r="10" ht="15" hidden="0" customHeight="1">
      <x:c r="A10" s="30" t="n">
        <x:v>6</x:v>
      </x:c>
      <x:c r="B10" s="27" t="str">
        <x:v>US-006</x:v>
      </x:c>
      <x:c r="C10" s="27" t="str">
        <x:v>Como ejecutivo, quiero crear y editar una propiedad para mantener el inventario</x:v>
      </x:c>
      <x:c r="D10" s="27" t="str">
        <x:v>EP-04</x:v>
      </x:c>
      <x:c r="E10" s="27" t="str">
        <x:v>Must</x:v>
      </x:c>
      <x:c r="F10" s="30" t="n">
        <x:v>8</x:v>
      </x:c>
      <x:c r="G10" s="27" t="str">
        <x:v>Pendiente</x:v>
      </x:c>
      <x:c r="H10" s="27" t="str"/>
      <x:c r="I10" s="27" t="str"/>
      <x:c r="J10" s="27" t="str">
        <x:v>No</x:v>
      </x:c>
      <x:c r="K10" s="27" t="str"/>
    </x:row>
    <x:row r="11" ht="15" hidden="0" customHeight="1">
      <x:c r="A11" s="30" t="n">
        <x:v>7</x:v>
      </x:c>
      <x:c r="B11" s="27" t="str">
        <x:v>US-007</x:v>
      </x:c>
      <x:c r="C11" s="27" t="str">
        <x:v>Como responsable, quiero validar campos obligatorios para evitar fichas incompletas</x:v>
      </x:c>
      <x:c r="D11" s="27" t="str">
        <x:v>EP-04</x:v>
      </x:c>
      <x:c r="E11" s="27" t="str">
        <x:v>Must</x:v>
      </x:c>
      <x:c r="F11" s="30" t="n">
        <x:v>5</x:v>
      </x:c>
      <x:c r="G11" s="27" t="str">
        <x:v>Pendiente</x:v>
      </x:c>
      <x:c r="H11" s="27" t="str"/>
      <x:c r="I11" s="27" t="str"/>
      <x:c r="J11" s="27" t="str">
        <x:v>No</x:v>
      </x:c>
      <x:c r="K11" s="27" t="str"/>
    </x:row>
    <x:row r="12" ht="15" hidden="0" customHeight="1">
      <x:c r="A12" s="30" t="n">
        <x:v>8</x:v>
      </x:c>
      <x:c r="B12" s="27" t="str">
        <x:v>US-008</x:v>
      </x:c>
      <x:c r="C12" s="27" t="str">
        <x:v>Como ejecutivo, quiero cargar y ordenar imágenes para presentar una propiedad</x:v>
      </x:c>
      <x:c r="D12" s="27" t="str">
        <x:v>EP-04</x:v>
      </x:c>
      <x:c r="E12" s="27" t="str">
        <x:v>Must</x:v>
      </x:c>
      <x:c r="F12" s="30" t="n">
        <x:v>5</x:v>
      </x:c>
      <x:c r="G12" s="27" t="str">
        <x:v>Pendiente</x:v>
      </x:c>
      <x:c r="H12" s="27" t="str"/>
      <x:c r="I12" s="27" t="str"/>
      <x:c r="J12" s="27" t="str">
        <x:v>No</x:v>
      </x:c>
      <x:c r="K12" s="27" t="str"/>
    </x:row>
    <x:row r="13" ht="15" hidden="0" customHeight="1">
      <x:c r="A13" s="30" t="n">
        <x:v>9</x:v>
      </x:c>
      <x:c r="B13" s="27" t="str">
        <x:v>US-009</x:v>
      </x:c>
      <x:c r="C13" s="27" t="str">
        <x:v>Como supervisor, quiero publicar o retirar una propiedad para controlar su exposición</x:v>
      </x:c>
      <x:c r="D13" s="27" t="str">
        <x:v>EP-04</x:v>
      </x:c>
      <x:c r="E13" s="27" t="str">
        <x:v>Must</x:v>
      </x:c>
      <x:c r="F13" s="30" t="n">
        <x:v>8</x:v>
      </x:c>
      <x:c r="G13" s="27" t="str">
        <x:v>Pendiente</x:v>
      </x:c>
      <x:c r="H13" s="27" t="str"/>
      <x:c r="I13" s="27" t="str"/>
      <x:c r="J13" s="27" t="str">
        <x:v>No</x:v>
      </x:c>
      <x:c r="K13" s="27" t="str"/>
    </x:row>
    <x:row r="14" ht="15" hidden="0" customHeight="1">
      <x:c r="A14" s="30" t="n">
        <x:v>10</x:v>
      </x:c>
      <x:c r="B14" s="27" t="str">
        <x:v>US-010</x:v>
      </x:c>
      <x:c r="C14" s="27" t="str">
        <x:v>Como visitante, quiero buscar y filtrar propiedades para encontrar opciones relevantes</x:v>
      </x:c>
      <x:c r="D14" s="27" t="str">
        <x:v>EP-05</x:v>
      </x:c>
      <x:c r="E14" s="27" t="str">
        <x:v>Must</x:v>
      </x:c>
      <x:c r="F14" s="30" t="n">
        <x:v>8</x:v>
      </x:c>
      <x:c r="G14" s="27" t="str">
        <x:v>Pendiente</x:v>
      </x:c>
      <x:c r="H14" s="27" t="str"/>
      <x:c r="I14" s="27" t="str"/>
      <x:c r="J14" s="27" t="str">
        <x:v>No</x:v>
      </x:c>
      <x:c r="K14" s="27" t="str"/>
    </x:row>
    <x:row r="15" ht="15" hidden="0" customHeight="1">
      <x:c r="A15" s="30" t="n">
        <x:v>11</x:v>
      </x:c>
      <x:c r="B15" s="27" t="str">
        <x:v>US-011</x:v>
      </x:c>
      <x:c r="C15" s="27" t="str">
        <x:v>Como visitante, quiero ver una ficha adaptable para evaluar una propiedad</x:v>
      </x:c>
      <x:c r="D15" s="27" t="str">
        <x:v>EP-05</x:v>
      </x:c>
      <x:c r="E15" s="27" t="str">
        <x:v>Must</x:v>
      </x:c>
      <x:c r="F15" s="30" t="n">
        <x:v>5</x:v>
      </x:c>
      <x:c r="G15" s="27" t="str">
        <x:v>Pendiente</x:v>
      </x:c>
      <x:c r="H15" s="27" t="str"/>
      <x:c r="I15" s="27" t="str"/>
      <x:c r="J15" s="27" t="str">
        <x:v>No</x:v>
      </x:c>
      <x:c r="K15" s="27" t="str"/>
    </x:row>
    <x:row r="16" ht="15" hidden="0" customHeight="1">
      <x:c r="A16" s="30" t="n">
        <x:v>12</x:v>
      </x:c>
      <x:c r="B16" s="27" t="str">
        <x:v>US-012</x:v>
      </x:c>
      <x:c r="C16" s="27" t="str">
        <x:v>Como visitante, quiero dejar una consulta y consentimiento para recibir contacto</x:v>
      </x:c>
      <x:c r="D16" s="27" t="str">
        <x:v>EP-05</x:v>
      </x:c>
      <x:c r="E16" s="27" t="str">
        <x:v>Must</x:v>
      </x:c>
      <x:c r="F16" s="30" t="n">
        <x:v>5</x:v>
      </x:c>
      <x:c r="G16" s="27" t="str">
        <x:v>Pendiente</x:v>
      </x:c>
      <x:c r="H16" s="27" t="str"/>
      <x:c r="I16" s="27" t="str"/>
      <x:c r="J16" s="27" t="str">
        <x:v>No</x:v>
      </x:c>
      <x:c r="K16" s="27" t="str"/>
    </x:row>
    <x:row r="17" ht="15" hidden="0" customHeight="1">
      <x:c r="A17" s="30" t="n">
        <x:v>13</x:v>
      </x:c>
      <x:c r="B17" s="27" t="str">
        <x:v>US-013</x:v>
      </x:c>
      <x:c r="C17" s="27" t="str">
        <x:v>Como ejecutivo, quiero ver contactos y leads para trabajar cada consulta</x:v>
      </x:c>
      <x:c r="D17" s="27" t="str">
        <x:v>EP-06</x:v>
      </x:c>
      <x:c r="E17" s="27" t="str">
        <x:v>Must</x:v>
      </x:c>
      <x:c r="F17" s="30" t="n">
        <x:v>8</x:v>
      </x:c>
      <x:c r="G17" s="27" t="str">
        <x:v>Pendiente</x:v>
      </x:c>
      <x:c r="H17" s="27" t="str"/>
      <x:c r="I17" s="27" t="str"/>
      <x:c r="J17" s="27" t="str">
        <x:v>No</x:v>
      </x:c>
      <x:c r="K17" s="27" t="str"/>
    </x:row>
    <x:row r="18" ht="15" hidden="0" customHeight="1">
      <x:c r="A18" s="30" t="n">
        <x:v>14</x:v>
      </x:c>
      <x:c r="B18" s="27" t="str">
        <x:v>US-014</x:v>
      </x:c>
      <x:c r="C18" s="27" t="str">
        <x:v>Como supervisor, quiero asignar leads para equilibrar el seguimiento</x:v>
      </x:c>
      <x:c r="D18" s="27" t="str">
        <x:v>EP-06</x:v>
      </x:c>
      <x:c r="E18" s="27" t="str">
        <x:v>Must</x:v>
      </x:c>
      <x:c r="F18" s="30" t="n">
        <x:v>5</x:v>
      </x:c>
      <x:c r="G18" s="27" t="str">
        <x:v>Pendiente</x:v>
      </x:c>
      <x:c r="H18" s="27" t="str"/>
      <x:c r="I18" s="27" t="str"/>
      <x:c r="J18" s="27" t="str">
        <x:v>No</x:v>
      </x:c>
      <x:c r="K18" s="27" t="str"/>
    </x:row>
    <x:row r="19" ht="15" hidden="0" customHeight="1">
      <x:c r="A19" s="30" t="n">
        <x:v>15</x:v>
      </x:c>
      <x:c r="B19" s="27" t="str">
        <x:v>US-015</x:v>
      </x:c>
      <x:c r="C19" s="27" t="str">
        <x:v>Como ejecutivo, quiero registrar actividades y tareas para mantener continuidad</x:v>
      </x:c>
      <x:c r="D19" s="27" t="str">
        <x:v>EP-06</x:v>
      </x:c>
      <x:c r="E19" s="27" t="str">
        <x:v>Must</x:v>
      </x:c>
      <x:c r="F19" s="30" t="n">
        <x:v>5</x:v>
      </x:c>
      <x:c r="G19" s="27" t="str">
        <x:v>Pendiente</x:v>
      </x:c>
      <x:c r="H19" s="27" t="str"/>
      <x:c r="I19" s="27" t="str"/>
      <x:c r="J19" s="27" t="str">
        <x:v>No</x:v>
      </x:c>
      <x:c r="K19" s="27" t="str"/>
    </x:row>
    <x:row r="20" ht="15" hidden="0" customHeight="1">
      <x:c r="A20" s="30" t="n">
        <x:v>16</x:v>
      </x:c>
      <x:c r="B20" s="27" t="str">
        <x:v>US-016</x:v>
      </x:c>
      <x:c r="C20" s="27" t="str">
        <x:v>Como ejecutivo, quiero convertir un lead en oportunidad para gestionar el embudo</x:v>
      </x:c>
      <x:c r="D20" s="27" t="str">
        <x:v>EP-06</x:v>
      </x:c>
      <x:c r="E20" s="27" t="str">
        <x:v>Must</x:v>
      </x:c>
      <x:c r="F20" s="30" t="n">
        <x:v>5</x:v>
      </x:c>
      <x:c r="G20" s="27" t="str">
        <x:v>Pendiente</x:v>
      </x:c>
      <x:c r="H20" s="27" t="str"/>
      <x:c r="I20" s="27" t="str"/>
      <x:c r="J20" s="27" t="str">
        <x:v>No</x:v>
      </x:c>
      <x:c r="K20" s="27" t="str"/>
    </x:row>
    <x:row r="21" ht="15" hidden="0" customHeight="1">
      <x:c r="A21" s="30" t="n">
        <x:v>17</x:v>
      </x:c>
      <x:c r="B21" s="27" t="str">
        <x:v>US-017</x:v>
      </x:c>
      <x:c r="C21" s="27" t="str">
        <x:v>Como visitante, quiero conversar en la web para resolver dudas iniciales</x:v>
      </x:c>
      <x:c r="D21" s="27" t="str">
        <x:v>EP-07</x:v>
      </x:c>
      <x:c r="E21" s="27" t="str">
        <x:v>Must</x:v>
      </x:c>
      <x:c r="F21" s="30" t="n">
        <x:v>8</x:v>
      </x:c>
      <x:c r="G21" s="27" t="str">
        <x:v>Pendiente</x:v>
      </x:c>
      <x:c r="H21" s="27" t="str"/>
      <x:c r="I21" s="27" t="str"/>
      <x:c r="J21" s="27" t="str">
        <x:v>No</x:v>
      </x:c>
      <x:c r="K21" s="27" t="str"/>
    </x:row>
    <x:row r="22" ht="24" hidden="0" customHeight="1">
      <x:c r="A22" s="30" t="n">
        <x:v>18</x:v>
      </x:c>
      <x:c r="B22" s="27" t="str">
        <x:v>US-018</x:v>
      </x:c>
      <x:c r="C22" s="27" t="str">
        <x:v>Como agente IA, quiero consultar solo propiedades publicadas para responder con datos vigentes</x:v>
      </x:c>
      <x:c r="D22" s="27" t="str">
        <x:v>EP-07</x:v>
      </x:c>
      <x:c r="E22" s="27" t="str">
        <x:v>Must</x:v>
      </x:c>
      <x:c r="F22" s="30" t="n">
        <x:v>8</x:v>
      </x:c>
      <x:c r="G22" s="27" t="str">
        <x:v>Pendiente</x:v>
      </x:c>
      <x:c r="H22" s="27" t="str"/>
      <x:c r="I22" s="27" t="str"/>
      <x:c r="J22" s="27" t="str">
        <x:v>No</x:v>
      </x:c>
      <x:c r="K22" s="27" t="str"/>
    </x:row>
    <x:row r="23" ht="24" hidden="0" customHeight="1">
      <x:c r="A23" s="30" t="n">
        <x:v>19</x:v>
      </x:c>
      <x:c r="B23" s="27" t="str">
        <x:v>US-019</x:v>
      </x:c>
      <x:c r="C23" s="27" t="str">
        <x:v>Como prospecto, quiero que mis preferencias se registren con consentimiento para continuar la atención</x:v>
      </x:c>
      <x:c r="D23" s="27" t="str">
        <x:v>EP-07</x:v>
      </x:c>
      <x:c r="E23" s="27" t="str">
        <x:v>Must</x:v>
      </x:c>
      <x:c r="F23" s="30" t="n">
        <x:v>8</x:v>
      </x:c>
      <x:c r="G23" s="27" t="str">
        <x:v>Pendiente</x:v>
      </x:c>
      <x:c r="H23" s="27" t="str"/>
      <x:c r="I23" s="27" t="str"/>
      <x:c r="J23" s="27" t="str">
        <x:v>No</x:v>
      </x:c>
      <x:c r="K23" s="27" t="str"/>
    </x:row>
    <x:row r="24" ht="15" hidden="0" customHeight="1">
      <x:c r="A24" s="30" t="n">
        <x:v>20</x:v>
      </x:c>
      <x:c r="B24" s="27" t="str">
        <x:v>US-020</x:v>
      </x:c>
      <x:c r="C24" s="27" t="str">
        <x:v>Como prospecto, quiero solicitar una persona sin repetir el contexto</x:v>
      </x:c>
      <x:c r="D24" s="27" t="str">
        <x:v>EP-07</x:v>
      </x:c>
      <x:c r="E24" s="27" t="str">
        <x:v>Must</x:v>
      </x:c>
      <x:c r="F24" s="30" t="n">
        <x:v>8</x:v>
      </x:c>
      <x:c r="G24" s="27" t="str">
        <x:v>Pendiente</x:v>
      </x:c>
      <x:c r="H24" s="27" t="str"/>
      <x:c r="I24" s="27" t="str"/>
      <x:c r="J24" s="27" t="str">
        <x:v>No</x:v>
      </x:c>
      <x:c r="K24" s="27" t="str"/>
    </x:row>
    <x:row r="25" ht="15" hidden="0" customHeight="1">
      <x:c r="A25" s="30" t="n">
        <x:v>21</x:v>
      </x:c>
      <x:c r="B25" s="27" t="str">
        <x:v>US-021</x:v>
      </x:c>
      <x:c r="C25" s="27" t="str">
        <x:v>Como responsable de calidad, quiero evaluar regresiones del agente antes de liberarlo</x:v>
      </x:c>
      <x:c r="D25" s="27" t="str">
        <x:v>EP-07</x:v>
      </x:c>
      <x:c r="E25" s="27" t="str">
        <x:v>Must</x:v>
      </x:c>
      <x:c r="F25" s="30" t="n">
        <x:v>8</x:v>
      </x:c>
      <x:c r="G25" s="27" t="str">
        <x:v>Pendiente</x:v>
      </x:c>
      <x:c r="H25" s="27" t="str"/>
      <x:c r="I25" s="27" t="str"/>
      <x:c r="J25" s="27" t="str">
        <x:v>No</x:v>
      </x:c>
      <x:c r="K25" s="27" t="str"/>
    </x:row>
    <x:row r="26" ht="15" hidden="0" customHeight="1">
      <x:c r="A26" s="30" t="n">
        <x:v>22</x:v>
      </x:c>
      <x:c r="B26" s="27" t="str">
        <x:v>US-022</x:v>
      </x:c>
      <x:c r="C26" s="27" t="str">
        <x:v>Como operador, quiero logs, métricas y alertas para detectar fallos</x:v>
      </x:c>
      <x:c r="D26" s="27" t="str">
        <x:v>EP-08</x:v>
      </x:c>
      <x:c r="E26" s="27" t="str">
        <x:v>Must</x:v>
      </x:c>
      <x:c r="F26" s="30" t="n">
        <x:v>8</x:v>
      </x:c>
      <x:c r="G26" s="27" t="str">
        <x:v>Pendiente</x:v>
      </x:c>
      <x:c r="H26" s="27" t="str"/>
      <x:c r="I26" s="27" t="str"/>
      <x:c r="J26" s="27" t="str">
        <x:v>No</x:v>
      </x:c>
      <x:c r="K26" s="27" t="str"/>
    </x:row>
    <x:row r="27" ht="24" hidden="0" customHeight="1">
      <x:c r="A27" s="30" t="n">
        <x:v>23</x:v>
      </x:c>
      <x:c r="B27" s="27" t="str">
        <x:v>US-023</x:v>
      </x:c>
      <x:c r="C27" s="27" t="str">
        <x:v>Como operador, quiero respaldar y restaurar los datos para recuperarme de una pérdida</x:v>
      </x:c>
      <x:c r="D27" s="27" t="str">
        <x:v>EP-08</x:v>
      </x:c>
      <x:c r="E27" s="27" t="str">
        <x:v>Must</x:v>
      </x:c>
      <x:c r="F27" s="30" t="n">
        <x:v>8</x:v>
      </x:c>
      <x:c r="G27" s="27" t="str">
        <x:v>Pendiente</x:v>
      </x:c>
      <x:c r="H27" s="27" t="str"/>
      <x:c r="I27" s="27" t="str"/>
      <x:c r="J27" s="27" t="str">
        <x:v>No</x:v>
      </x:c>
      <x:c r="K27" s="27" t="str"/>
    </x:row>
    <x:row r="28" ht="15" hidden="0" customHeight="1">
      <x:c r="A28" s="30" t="n">
        <x:v>24</x:v>
      </x:c>
      <x:c r="B28" s="27" t="str">
        <x:v>US-024</x:v>
      </x:c>
      <x:c r="C28" s="27" t="str">
        <x:v>Como supervisor, quiero ver inventario y embudo para tomar decisiones</x:v>
      </x:c>
      <x:c r="D28" s="27" t="str">
        <x:v>EP-08</x:v>
      </x:c>
      <x:c r="E28" s="27" t="str">
        <x:v>Should</x:v>
      </x:c>
      <x:c r="F28" s="30" t="n">
        <x:v>8</x:v>
      </x:c>
      <x:c r="G28" s="27" t="str">
        <x:v>Pendiente</x:v>
      </x:c>
      <x:c r="H28" s="27" t="str"/>
      <x:c r="I28" s="27" t="str"/>
      <x:c r="J28" s="27" t="str">
        <x:v>No</x:v>
      </x:c>
      <x:c r="K28" s="27" t="str"/>
    </x:row>
    <x:row r="29" ht="15" hidden="0" customHeight="1">
      <x:c r="A29" s="30" t="n">
        <x:v>25</x:v>
      </x:c>
      <x:c r="B29" s="27" t="str">
        <x:v>US-025</x:v>
      </x:c>
      <x:c r="C29" s="27" t="str">
        <x:v>Como ejecutivo, quiero recibir notificaciones de asignación y vencimiento</x:v>
      </x:c>
      <x:c r="D29" s="27" t="str">
        <x:v>EP-06</x:v>
      </x:c>
      <x:c r="E29" s="27" t="str">
        <x:v>Should</x:v>
      </x:c>
      <x:c r="F29" s="30" t="n">
        <x:v>5</x:v>
      </x:c>
      <x:c r="G29" s="27" t="str">
        <x:v>Pendiente</x:v>
      </x:c>
      <x:c r="H29" s="27" t="str"/>
      <x:c r="I29" s="27" t="str"/>
      <x:c r="J29" s="27" t="str">
        <x:v>No</x:v>
      </x:c>
      <x:c r="K29" s="27" t="str"/>
    </x:row>
    <x:row r="30" ht="24" hidden="0" customHeight="1">
      <x:c r="A30" s="30" t="n">
        <x:v>26</x:v>
      </x:c>
      <x:c r="B30" s="27" t="str">
        <x:v>US-026</x:v>
      </x:c>
      <x:c r="C30" s="27" t="str">
        <x:v>Como administrador, quiero importar propiedades con validación para acelerar la carga</x:v>
      </x:c>
      <x:c r="D30" s="27" t="str">
        <x:v>EP-04</x:v>
      </x:c>
      <x:c r="E30" s="27" t="str">
        <x:v>Could</x:v>
      </x:c>
      <x:c r="F30" s="30" t="n">
        <x:v>8</x:v>
      </x:c>
      <x:c r="G30" s="27" t="str">
        <x:v>Pendiente</x:v>
      </x:c>
      <x:c r="H30" s="27" t="str"/>
      <x:c r="I30" s="27" t="str"/>
      <x:c r="J30" s="27" t="str">
        <x:v>No</x:v>
      </x:c>
      <x:c r="K30" s="27" t="str"/>
    </x:row>
    <x:row r="31" ht="15" hidden="0" customHeight="1">
      <x:c r="A31" s="30" t="n">
        <x:v>27</x:v>
      </x:c>
      <x:c r="B31" s="27" t="str">
        <x:v>US-027</x:v>
      </x:c>
      <x:c r="C31" s="27" t="str">
        <x:v>Como visitante, quiero guardar favoritos para comparar propiedades</x:v>
      </x:c>
      <x:c r="D31" s="27" t="str">
        <x:v>EP-05</x:v>
      </x:c>
      <x:c r="E31" s="27" t="str">
        <x:v>Could</x:v>
      </x:c>
      <x:c r="F31" s="30" t="n">
        <x:v>5</x:v>
      </x:c>
      <x:c r="G31" s="27" t="str">
        <x:v>Pendiente</x:v>
      </x:c>
      <x:c r="H31" s="27" t="str"/>
      <x:c r="I31" s="27" t="str"/>
      <x:c r="J31" s="27" t="str">
        <x:v>No</x:v>
      </x:c>
      <x:c r="K31" s="27" t="str"/>
    </x:row>
    <x:row r="32" ht="15" hidden="0" customHeight="1">
      <x:c r="A32" s="30" t="n">
        <x:v>28</x:v>
      </x:c>
      <x:c r="B32" s="27" t="str">
        <x:v>US-028</x:v>
      </x:c>
      <x:c r="C32" s="27" t="str">
        <x:v>Como ejecutivo, quiero sincronizar visitas con calendario para evitar doble registro</x:v>
      </x:c>
      <x:c r="D32" s="27" t="str">
        <x:v>EP-06</x:v>
      </x:c>
      <x:c r="E32" s="27" t="str">
        <x:v>Could</x:v>
      </x:c>
      <x:c r="F32" s="30" t="n">
        <x:v>8</x:v>
      </x:c>
      <x:c r="G32" s="27" t="str">
        <x:v>Pendiente</x:v>
      </x:c>
      <x:c r="H32" s="27" t="str"/>
      <x:c r="I32" s="27" t="str"/>
      <x:c r="J32" s="27" t="str">
        <x:v>No</x:v>
      </x:c>
      <x:c r="K32" s="27" t="str"/>
    </x:row>
    <x:row r="33" ht="24" hidden="0" customHeight="1">
      <x:c r="A33" s="30" t="n">
        <x:v>29</x:v>
      </x:c>
      <x:c r="B33" s="27" t="str">
        <x:v>US-029</x:v>
      </x:c>
      <x:c r="C33" s="27" t="str">
        <x:v>Como supervisor, quiero deduplicación asistida de contactos para mejorar calidad de datos</x:v>
      </x:c>
      <x:c r="D33" s="27" t="str">
        <x:v>EP-06</x:v>
      </x:c>
      <x:c r="E33" s="27" t="str">
        <x:v>Could</x:v>
      </x:c>
      <x:c r="F33" s="30" t="n">
        <x:v>5</x:v>
      </x:c>
      <x:c r="G33" s="27" t="str">
        <x:v>Pendiente</x:v>
      </x:c>
      <x:c r="H33" s="27" t="str"/>
      <x:c r="I33" s="27" t="str"/>
      <x:c r="J33" s="27" t="str">
        <x:v>No</x:v>
      </x:c>
      <x:c r="K33" s="27" t="str"/>
    </x:row>
    <x:row r="34" ht="24" hidden="0" customHeight="1">
      <x:c r="A34" s="31" t="n">
        <x:v>30</x:v>
      </x:c>
      <x:c r="B34" s="28" t="str">
        <x:v>US-030</x:v>
      </x:c>
      <x:c r="C34" s="28" t="str">
        <x:v>Como administrador, quiero integrar un canal externo priorizado para centralizar conversaciones</x:v>
      </x:c>
      <x:c r="D34" s="28" t="str">
        <x:v>EP-07</x:v>
      </x:c>
      <x:c r="E34" s="28" t="str">
        <x:v>Could</x:v>
      </x:c>
      <x:c r="F34" s="31" t="n">
        <x:v>13</x:v>
      </x:c>
      <x:c r="G34" s="28" t="str">
        <x:v>Pendiente</x:v>
      </x:c>
      <x:c r="H34" s="28" t="str"/>
      <x:c r="I34" s="28" t="str"/>
      <x:c r="J34" s="28" t="str">
        <x:v>No</x:v>
      </x:c>
      <x:c r="K34" s="28" t="str"/>
    </x:row>
  </x:sheetData>
  <x:mergeCells>
    <x:mergeCell ref="A1:K1"/>
    <x:mergeCell ref="A2:K2"/>
  </x:mergeCells>
  <x:conditionalFormatting sqref="E5:E34">
    <x:cfRule type="containsText" dxfId="0" priority="1" operator="containsText" text="Must"/>
  </x:conditionalFormatting>
  <x:conditionalFormatting sqref="G5:G34">
    <x:cfRule type="containsText" dxfId="1" priority="2" operator="containsText" text="Terminada"/>
    <x:cfRule type="containsText" dxfId="2" priority="3" operator="containsText" text="Bloqueada"/>
  </x:conditionalFormatting>
  <x:dataValidations count="4">
    <x:dataValidation type="list" sqref="E5:E34">
      <x:formula1>"Must,Should,Could,Won't"</x:formula1>
    </x:dataValidation>
    <x:dataValidation type="list" sqref="G5:G34">
      <x:formula1>"Pendiente,En refinamiento,Lista,En curso,Terminada,Bloqueada"</x:formula1>
    </x:dataValidation>
    <x:dataValidation type="list" sqref="H5:H34">
      <x:formula1>",Sprint 0,Sprint 1,Sprint 2,Sprint 3,Sprint 4,Sprint 5,Sprint 6,Sprint 7"</x:formula1>
    </x:dataValidation>
    <x:dataValidation type="list" sqref="J5:J34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816e9fe8d645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58" hidden="0" customWidth="1"/>
    <x:col min="4" max="4" width="16" hidden="0" customWidth="1"/>
    <x:col min="5" max="5" width="22" hidden="0" customWidth="1"/>
  </x:cols>
  <x:sheetData>
    <x:row r="1" ht="30" customHeight="1">
      <x:c r="A1" s="3" t="str">
        <x:v>Épicas de producto</x:v>
      </x:c>
      <x:c r="B1" s="3"/>
      <x:c r="C1" s="3"/>
      <x:c r="D1" s="3"/>
      <x:c r="E1" s="3"/>
    </x:row>
    <x:row r="2" ht="28" customHeight="1">
      <x:c r="A2" s="7" t="str">
        <x:v>Resultados de alto nivel que agrupan el Product Backlog.</x:v>
      </x:c>
      <x:c r="B2" s="7"/>
      <x:c r="C2" s="7"/>
      <x:c r="D2" s="7"/>
      <x:c r="E2" s="7"/>
    </x:row>
    <x:row r="4" ht="30" customHeight="1">
      <x:c r="A4" s="16" t="str">
        <x:v>ID</x:v>
      </x:c>
      <x:c r="B4" s="17" t="str">
        <x:v>Épica</x:v>
      </x:c>
      <x:c r="C4" s="17" t="str">
        <x:v>Resultado esperado</x:v>
      </x:c>
      <x:c r="D4" s="17" t="str">
        <x:v>Estado</x:v>
      </x:c>
      <x:c r="E4" s="18" t="str">
        <x:v>Responsable</x:v>
      </x:c>
    </x:row>
    <x:row r="5" ht="15" hidden="0" customHeight="1">
      <x:c r="A5" s="26" t="str">
        <x:v>EP-01</x:v>
      </x:c>
      <x:c r="B5" s="26" t="str">
        <x:v>Descubrimiento y experiencia</x:v>
      </x:c>
      <x:c r="C5" s="26" t="str">
        <x:v>Flujo validado con usuarios y métricas base</x:v>
      </x:c>
      <x:c r="D5" s="26" t="str">
        <x:v>Pendiente</x:v>
      </x:c>
      <x:c r="E5" s="26" t="str"/>
    </x:row>
    <x:row r="6" ht="15" hidden="0" customHeight="1">
      <x:c r="A6" s="27" t="str">
        <x:v>EP-02</x:v>
      </x:c>
      <x:c r="B6" s="27" t="str">
        <x:v>Plataforma y seguridad</x:v>
      </x:c>
      <x:c r="C6" s="27" t="str">
        <x:v>Base desplegable, observable y protegida</x:v>
      </x:c>
      <x:c r="D6" s="27" t="str">
        <x:v>Pendiente</x:v>
      </x:c>
      <x:c r="E6" s="27" t="str"/>
    </x:row>
    <x:row r="7" ht="15" hidden="0" customHeight="1">
      <x:c r="A7" s="27" t="str">
        <x:v>EP-03</x:v>
      </x:c>
      <x:c r="B7" s="27" t="str">
        <x:v>Identidad y acceso</x:v>
      </x:c>
      <x:c r="C7" s="27" t="str">
        <x:v>Usuarios operan según responsabilidades</x:v>
      </x:c>
      <x:c r="D7" s="27" t="str">
        <x:v>Pendiente</x:v>
      </x:c>
      <x:c r="E7" s="27" t="str"/>
    </x:row>
    <x:row r="8" ht="15" hidden="0" customHeight="1">
      <x:c r="A8" s="27" t="str">
        <x:v>EP-04</x:v>
      </x:c>
      <x:c r="B8" s="27" t="str">
        <x:v>Inventario inmobiliario</x:v>
      </x:c>
      <x:c r="C8" s="27" t="str">
        <x:v>Propiedades consistentes y publicables</x:v>
      </x:c>
      <x:c r="D8" s="27" t="str">
        <x:v>Pendiente</x:v>
      </x:c>
      <x:c r="E8" s="27" t="str"/>
    </x:row>
    <x:row r="9" ht="15" hidden="0" customHeight="1">
      <x:c r="A9" s="27" t="str">
        <x:v>EP-05</x:v>
      </x:c>
      <x:c r="B9" s="27" t="str">
        <x:v>Web vitrina</x:v>
      </x:c>
      <x:c r="C9" s="27" t="str">
        <x:v>Prospectos encuentran oferta vigente</x:v>
      </x:c>
      <x:c r="D9" s="27" t="str">
        <x:v>Pendiente</x:v>
      </x:c>
      <x:c r="E9" s="27" t="str"/>
    </x:row>
    <x:row r="10" ht="15" hidden="0" customHeight="1">
      <x:c r="A10" s="27" t="str">
        <x:v>EP-06</x:v>
      </x:c>
      <x:c r="B10" s="27" t="str">
        <x:v>CRM</x:v>
      </x:c>
      <x:c r="C10" s="27" t="str">
        <x:v>Consultas se convierten en seguimiento trazable</x:v>
      </x:c>
      <x:c r="D10" s="27" t="str">
        <x:v>Pendiente</x:v>
      </x:c>
      <x:c r="E10" s="27" t="str"/>
    </x:row>
    <x:row r="11" ht="15" hidden="0" customHeight="1">
      <x:c r="A11" s="27" t="str">
        <x:v>EP-07</x:v>
      </x:c>
      <x:c r="B11" s="27" t="str">
        <x:v>Atención con IA</x:v>
      </x:c>
      <x:c r="C11" s="27" t="str">
        <x:v>Respuesta verificada y continuidad humana</x:v>
      </x:c>
      <x:c r="D11" s="27" t="str">
        <x:v>Pendiente</x:v>
      </x:c>
      <x:c r="E11" s="27" t="str"/>
    </x:row>
    <x:row r="12" ht="15" hidden="0" customHeight="1">
      <x:c r="A12" s="28" t="str">
        <x:v>EP-08</x:v>
      </x:c>
      <x:c r="B12" s="28" t="str">
        <x:v>Analítica y operación</x:v>
      </x:c>
      <x:c r="C12" s="28" t="str">
        <x:v>Negocio y equipo conocen desempeño y salud</x:v>
      </x:c>
      <x:c r="D12" s="28" t="str">
        <x:v>Pendiente</x:v>
      </x:c>
      <x:c r="E12" s="28" t="str"/>
    </x:row>
  </x:sheetData>
  <x:mergeCells>
    <x:mergeCell ref="A1:E1"/>
    <x:mergeCell ref="A2:E2"/>
  </x:mergeCells>
  <x:dataValidations count="1">
    <x:dataValidation type="list" sqref="D5:D12">
      <x:formula1>"Pendiente,En curso,Terminada,Bloqueada"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ca299d1a3b45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55" hidden="0" customWidth="1"/>
    <x:col min="4" max="4" width="16" hidden="0" customWidth="1"/>
    <x:col min="5" max="5" width="16" hidden="0" customWidth="1"/>
    <x:col min="6" max="6" width="22" hidden="0" customWidth="1"/>
  </x:cols>
  <x:sheetData>
    <x:row r="1" ht="30" customHeight="1">
      <x:c r="A1" s="3" t="str">
        <x:v>Spikes recomendados</x:v>
      </x:c>
      <x:c r="B1" s="3"/>
      <x:c r="C1" s="3"/>
      <x:c r="D1" s="3"/>
      <x:c r="E1" s="3"/>
      <x:c r="F1" s="3"/>
    </x:row>
    <x:row r="2" ht="28" customHeight="1">
      <x:c r="A2" s="7" t="str">
        <x:v>Investigaciones con timebox y evidencia concreta; no equivalen a funcionalidad terminada.</x:v>
      </x:c>
      <x:c r="B2" s="7"/>
      <x:c r="C2" s="7"/>
      <x:c r="D2" s="7"/>
      <x:c r="E2" s="7"/>
      <x:c r="F2" s="7"/>
    </x:row>
    <x:row r="4" ht="30" customHeight="1">
      <x:c r="A4" s="16" t="str">
        <x:v>ID</x:v>
      </x:c>
      <x:c r="B4" s="17" t="str">
        <x:v>Pregunta</x:v>
      </x:c>
      <x:c r="C4" s="17" t="str">
        <x:v>Evidencia esperada</x:v>
      </x:c>
      <x:c r="D4" s="17" t="str">
        <x:v>Timebox (días)</x:v>
      </x:c>
      <x:c r="E4" s="17" t="str">
        <x:v>Estado</x:v>
      </x:c>
      <x:c r="F4" s="18" t="str">
        <x:v>Responsable</x:v>
      </x:c>
    </x:row>
    <x:row r="5" ht="15" hidden="0" customHeight="1">
      <x:c r="A5" s="26" t="str">
        <x:v>SP-001</x:v>
      </x:c>
      <x:c r="B5" s="26" t="str">
        <x:v>¿CRM propio o integración?</x:v>
      </x:c>
      <x:c r="C5" s="26" t="str">
        <x:v>Matriz de capacidades, costos, APIs, riesgos y recomendación</x:v>
      </x:c>
      <x:c r="D5" s="29" t="n">
        <x:v>3</x:v>
      </x:c>
      <x:c r="E5" s="26" t="str">
        <x:v>Pendiente</x:v>
      </x:c>
      <x:c r="F5" s="26" t="str"/>
    </x:row>
    <x:row r="6" ht="15" hidden="0" customHeight="1">
      <x:c r="A6" s="27" t="str">
        <x:v>SP-002</x:v>
      </x:c>
      <x:c r="B6" s="27" t="str">
        <x:v>¿Qué modelo/proveedor cumple calidad, privacidad, latencia y costo?</x:v>
      </x:c>
      <x:c r="C6" s="27" t="str">
        <x:v>Prototipo y resultados sobre set inicial</x:v>
      </x:c>
      <x:c r="D6" s="30" t="n">
        <x:v>5</x:v>
      </x:c>
      <x:c r="E6" s="27" t="str">
        <x:v>Pendiente</x:v>
      </x:c>
      <x:c r="F6" s="27" t="str"/>
    </x:row>
    <x:row r="7" ht="15" hidden="0" customHeight="1">
      <x:c r="A7" s="27" t="str">
        <x:v>SP-003</x:v>
      </x:c>
      <x:c r="B7" s="27" t="str">
        <x:v>¿Qué canal conversacional inicia el MVP?</x:v>
      </x:c>
      <x:c r="C7" s="27" t="str">
        <x:v>Journey, restricciones, costo y esfuerzo</x:v>
      </x:c>
      <x:c r="D7" s="30" t="n">
        <x:v>2</x:v>
      </x:c>
      <x:c r="E7" s="27" t="str">
        <x:v>Pendiente</x:v>
      </x:c>
      <x:c r="F7" s="27" t="str"/>
    </x:row>
    <x:row r="8" ht="15" hidden="0" customHeight="1">
      <x:c r="A8" s="27" t="str">
        <x:v>SP-004</x:v>
      </x:c>
      <x:c r="B8" s="27" t="str">
        <x:v>¿El VPS objetivo soporta carga y recuperación esperadas?</x:v>
      </x:c>
      <x:c r="C8" s="27" t="str">
        <x:v>Prueba de despliegue, carga, backup y restauración</x:v>
      </x:c>
      <x:c r="D8" s="30" t="n">
        <x:v>3</x:v>
      </x:c>
      <x:c r="E8" s="27" t="str">
        <x:v>Pendiente</x:v>
      </x:c>
      <x:c r="F8" s="27" t="str"/>
    </x:row>
    <x:row r="9" ht="15" hidden="0" customHeight="1">
      <x:c r="A9" s="28" t="str">
        <x:v>SP-005</x:v>
      </x:c>
      <x:c r="B9" s="28" t="str">
        <x:v>¿Qué búsqueda satisface catálogo y SEO del MVP?</x:v>
      </x:c>
      <x:c r="C9" s="28" t="str">
        <x:v>Prueba con datos representativos y presupuesto de latencia</x:v>
      </x:c>
      <x:c r="D9" s="31" t="n">
        <x:v>2</x:v>
      </x:c>
      <x:c r="E9" s="28" t="str">
        <x:v>Pendiente</x:v>
      </x:c>
      <x:c r="F9" s="28" t="str"/>
    </x:row>
  </x:sheetData>
  <x:mergeCells>
    <x:mergeCell ref="A1:F1"/>
    <x:mergeCell ref="A2:F2"/>
  </x:mergeCells>
  <x:dataValidations count="1">
    <x:dataValidation type="list" sqref="E5:E9">
      <x:formula1>"Pendiente,En curso,Terminado,Bloqueado"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7c1d06d95b48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55" hidden="0" customWidth="1"/>
    <x:col min="4" max="4" width="60" hidden="0" customWidth="1"/>
    <x:col min="5" max="5" width="16" hidden="0" customWidth="1"/>
  </x:cols>
  <x:sheetData>
    <x:row r="1" ht="30" customHeight="1">
      <x:c r="A1" s="3" t="str">
        <x:v>Roadmap orientado a resultados</x:v>
      </x:c>
      <x:c r="B1" s="3"/>
      <x:c r="C1" s="3"/>
      <x:c r="D1" s="3"/>
      <x:c r="E1" s="3"/>
    </x:row>
    <x:row r="2" ht="28" customHeight="1">
      <x:c r="A2" s="7" t="str">
        <x:v>Orden relativo, no compromiso de fechas. Cada release exige evidencia y aceptación.</x:v>
      </x:c>
      <x:c r="B2" s="7"/>
      <x:c r="C2" s="7"/>
      <x:c r="D2" s="7"/>
      <x:c r="E2" s="7"/>
    </x:row>
    <x:row r="4" ht="30" customHeight="1">
      <x:c r="A4" s="16" t="str">
        <x:v>Orden</x:v>
      </x:c>
      <x:c r="B4" s="17" t="str">
        <x:v>Horizonte</x:v>
      </x:c>
      <x:c r="C4" s="17" t="str">
        <x:v>Objetivo</x:v>
      </x:c>
      <x:c r="D4" s="17" t="str">
        <x:v>Evidencia de salida</x:v>
      </x:c>
      <x:c r="E4" s="18" t="str">
        <x:v>Estado</x:v>
      </x:c>
    </x:row>
    <x:row r="5" ht="15" hidden="0" customHeight="1">
      <x:c r="A5" s="26" t="n">
        <x:v>1</x:v>
      </x:c>
      <x:c r="B5" s="26" t="str">
        <x:v>Descubrimiento habilitante</x:v>
      </x:c>
      <x:c r="C5" s="26" t="str">
        <x:v>Confirmar problema, usuarios, restricciones y decisiones críticas</x:v>
      </x:c>
      <x:c r="D5" s="26" t="str">
        <x:v>Flujo validado, métricas base, ADR iniciales y backlog refinado</x:v>
      </x:c>
      <x:c r="E5" s="26" t="str">
        <x:v>Pendiente</x:v>
      </x:c>
    </x:row>
    <x:row r="6" ht="15" hidden="0" customHeight="1">
      <x:c r="A6" s="27" t="n">
        <x:v>2</x:v>
      </x:c>
      <x:c r="B6" s="27" t="str">
        <x:v>Release 1 — Inventario</x:v>
      </x:c>
      <x:c r="C6" s="27" t="str">
        <x:v>Gestionar y publicar propiedades con seguridad</x:v>
      </x:c>
      <x:c r="D6" s="27" t="str">
        <x:v>Propiedad creada, validada, publicada y retirada con auditoría</x:v>
      </x:c>
      <x:c r="E6" s="27" t="str">
        <x:v>Pendiente</x:v>
      </x:c>
    </x:row>
    <x:row r="7" ht="15" hidden="0" customHeight="1">
      <x:c r="A7" s="27" t="n">
        <x:v>3</x:v>
      </x:c>
      <x:c r="B7" s="27" t="str">
        <x:v>Release 2 — Captación y CRM</x:v>
      </x:c>
      <x:c r="C7" s="27" t="str">
        <x:v>Convertir visitas web en seguimiento comercial</x:v>
      </x:c>
      <x:c r="D7" s="27" t="str">
        <x:v>Consulta vinculada a contacto/lead, asignación, actividad y embudo</x:v>
      </x:c>
      <x:c r="E7" s="27" t="str">
        <x:v>Pendiente</x:v>
      </x:c>
    </x:row>
    <x:row r="8" ht="15" hidden="0" customHeight="1">
      <x:c r="A8" s="27" t="n">
        <x:v>4</x:v>
      </x:c>
      <x:c r="B8" s="27" t="str">
        <x:v>Release 3 — IA controlada</x:v>
      </x:c>
      <x:c r="C8" s="27" t="str">
        <x:v>Atender y derivar con datos verificables</x:v>
      </x:c>
      <x:c r="D8" s="27" t="str">
        <x:v>Chat evaluado, herramientas restringidas, consentimiento y handoff</x:v>
      </x:c>
      <x:c r="E8" s="27" t="str">
        <x:v>Pendiente</x:v>
      </x:c>
    </x:row>
    <x:row r="9" ht="15" hidden="0" customHeight="1">
      <x:c r="A9" s="27" t="n">
        <x:v>5</x:v>
      </x:c>
      <x:c r="B9" s="27" t="str">
        <x:v>Release 4 — Piloto operacional</x:v>
      </x:c>
      <x:c r="C9" s="27" t="str">
        <x:v>Operar con usuarios reales y medir valor</x:v>
      </x:c>
      <x:c r="D9" s="27" t="str">
        <x:v>SLO, recuperación, capacitación, métricas y feedback del piloto</x:v>
      </x:c>
      <x:c r="E9" s="27" t="str">
        <x:v>Pendiente</x:v>
      </x:c>
    </x:row>
    <x:row r="10" ht="15" hidden="0" customHeight="1">
      <x:c r="A10" s="28" t="n">
        <x:v>6</x:v>
      </x:c>
      <x:c r="B10" s="28" t="str">
        <x:v>Evolución</x:v>
      </x:c>
      <x:c r="C10" s="28" t="str">
        <x:v>Optimizar conversión y sumar canales/integraciones</x:v>
      </x:c>
      <x:c r="D10" s="28" t="str">
        <x:v>Decisiones basadas en datos del piloto</x:v>
      </x:c>
      <x:c r="E10" s="28" t="str">
        <x:v>Pendiente</x:v>
      </x:c>
    </x:row>
  </x:sheetData>
  <x:mergeCells>
    <x:mergeCell ref="A1:E1"/>
    <x:mergeCell ref="A2:E2"/>
  </x:mergeCells>
  <x:dataValidations count="1">
    <x:dataValidation type="list" sqref="E5:E10">
      <x:formula1>"Pendiente,En curso,Completado,Bloqueado"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616d20638043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0" hidden="0" customWidth="1"/>
    <x:col min="3" max="3" width="42" hidden="0" customWidth="1"/>
    <x:col min="4" max="4" width="55" hidden="0" customWidth="1"/>
    <x:col min="5" max="5" width="16" hidden="0" customWidth="1"/>
  </x:cols>
  <x:sheetData>
    <x:row r="1" ht="30" customHeight="1">
      <x:c r="A1" s="3" t="str">
        <x:v>Hipótesis de Sprint Goals</x:v>
      </x:c>
      <x:c r="B1" s="3"/>
      <x:c r="C1" s="3"/>
      <x:c r="D1" s="3"/>
      <x:c r="E1" s="3"/>
    </x:row>
    <x:row r="2" ht="28" customHeight="1">
      <x:c r="A2" s="7" t="str">
        <x:v>Sprints de dos semanas. La selección final depende de capacidad, dependencias y Definition of Done.</x:v>
      </x:c>
      <x:c r="B2" s="7"/>
      <x:c r="C2" s="7"/>
      <x:c r="D2" s="7"/>
      <x:c r="E2" s="7"/>
    </x:row>
    <x:row r="4" ht="30" customHeight="1">
      <x:c r="A4" s="16" t="str">
        <x:v>Sprint</x:v>
      </x:c>
      <x:c r="B4" s="17" t="str">
        <x:v>Objetivo</x:v>
      </x:c>
      <x:c r="C4" s="17" t="str">
        <x:v>Historias candidatas</x:v>
      </x:c>
      <x:c r="D4" s="17" t="str">
        <x:v>Resultado / evidencia</x:v>
      </x:c>
      <x:c r="E4" s="18" t="str">
        <x:v>Estado</x:v>
      </x:c>
    </x:row>
    <x:row r="5" ht="15" hidden="0" customHeight="1">
      <x:c r="A5" s="26" t="n">
        <x:v>0</x:v>
      </x:c>
      <x:c r="B5" s="26" t="str">
        <x:v>Reducir incertidumbre suficiente para comenzar una entrega segura</x:v>
      </x:c>
      <x:c r="C5" s="26" t="str">
        <x:v>US-001, US-002 y spikes prioritarios</x:v>
      </x:c>
      <x:c r="D5" s="26" t="str"/>
      <x:c r="E5" s="26" t="str">
        <x:v>Planificado</x:v>
      </x:c>
    </x:row>
    <x:row r="6" ht="15" hidden="0" customHeight="1">
      <x:c r="A6" s="27" t="n">
        <x:v>1</x:v>
      </x:c>
      <x:c r="B6" s="27" t="str">
        <x:v>Permitir acceso seguro y crear una propiedad válida</x:v>
      </x:c>
      <x:c r="C6" s="27" t="str">
        <x:v>US-003, US-004, US-006, US-007</x:v>
      </x:c>
      <x:c r="D6" s="27" t="str"/>
      <x:c r="E6" s="27" t="str">
        <x:v>Planificado</x:v>
      </x:c>
    </x:row>
    <x:row r="7" ht="15" hidden="0" customHeight="1">
      <x:c r="A7" s="27" t="n">
        <x:v>2</x:v>
      </x:c>
      <x:c r="B7" s="27" t="str">
        <x:v>Publicar una ficha de propiedad con imágenes</x:v>
      </x:c>
      <x:c r="C7" s="27" t="str">
        <x:v>US-005, US-008, US-009, US-011</x:v>
      </x:c>
      <x:c r="D7" s="27" t="str"/>
      <x:c r="E7" s="27" t="str">
        <x:v>Planificado</x:v>
      </x:c>
    </x:row>
    <x:row r="8" ht="15" hidden="0" customHeight="1">
      <x:c r="A8" s="27" t="n">
        <x:v>3</x:v>
      </x:c>
      <x:c r="B8" s="27" t="str">
        <x:v>Encontrar propiedades y convertir una consulta en lead</x:v>
      </x:c>
      <x:c r="C8" s="27" t="str">
        <x:v>US-010, US-012, US-013</x:v>
      </x:c>
      <x:c r="D8" s="27" t="str"/>
      <x:c r="E8" s="27" t="str">
        <x:v>Planificado</x:v>
      </x:c>
    </x:row>
    <x:row r="9" ht="15" hidden="0" customHeight="1">
      <x:c r="A9" s="27" t="n">
        <x:v>4</x:v>
      </x:c>
      <x:c r="B9" s="27" t="str">
        <x:v>Dar seguimiento comercial con asignación, actividades y oportunidades</x:v>
      </x:c>
      <x:c r="C9" s="27" t="str">
        <x:v>US-014, US-015, US-016</x:v>
      </x:c>
      <x:c r="D9" s="27" t="str"/>
      <x:c r="E9" s="27" t="str">
        <x:v>Planificado</x:v>
      </x:c>
    </x:row>
    <x:row r="10" ht="15" hidden="0" customHeight="1">
      <x:c r="A10" s="27" t="n">
        <x:v>5</x:v>
      </x:c>
      <x:c r="B10" s="27" t="str">
        <x:v>Responder consultas usando únicamente inventario publicado</x:v>
      </x:c>
      <x:c r="C10" s="27" t="str">
        <x:v>US-017, US-018, parte de US-021</x:v>
      </x:c>
      <x:c r="D10" s="27" t="str"/>
      <x:c r="E10" s="27" t="str">
        <x:v>Planificado</x:v>
      </x:c>
    </x:row>
    <x:row r="11" ht="15" hidden="0" customHeight="1">
      <x:c r="A11" s="27" t="n">
        <x:v>6</x:v>
      </x:c>
      <x:c r="B11" s="27" t="str">
        <x:v>Registrar preferencias y derivar a un ejecutivo con contexto</x:v>
      </x:c>
      <x:c r="C11" s="27" t="str">
        <x:v>US-019, US-020, completar US-021</x:v>
      </x:c>
      <x:c r="D11" s="27" t="str"/>
      <x:c r="E11" s="27" t="str">
        <x:v>Planificado</x:v>
      </x:c>
    </x:row>
    <x:row r="12" ht="15" hidden="0" customHeight="1">
      <x:c r="A12" s="28" t="n">
        <x:v>7</x:v>
      </x:c>
      <x:c r="B12" s="28" t="str">
        <x:v>Preparar piloto medible y recuperable</x:v>
      </x:c>
      <x:c r="C12" s="28" t="str">
        <x:v>US-022, US-023, US-024 y hardening</x:v>
      </x:c>
      <x:c r="D12" s="28" t="str"/>
      <x:c r="E12" s="28" t="str">
        <x:v>Planificado</x:v>
      </x:c>
    </x:row>
  </x:sheetData>
  <x:mergeCells>
    <x:mergeCell ref="A1:E1"/>
    <x:mergeCell ref="A2:E2"/>
  </x:mergeCells>
  <x:dataValidations count="1">
    <x:dataValidation type="list" sqref="E5:E12">
      <x:formula1>"Planificado,En curso,Cumplido,No cumplido,Cancelado"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8d41be81804c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8" hidden="0" customWidth="1"/>
    <x:col min="3" max="3" width="22" hidden="0" customWidth="1"/>
  </x:cols>
  <x:sheetData>
    <x:row r="1" ht="30" customHeight="1">
      <x:c r="A1" s="3" t="str">
        <x:v>Definition of Ready y Definition of Done</x:v>
      </x:c>
      <x:c r="B1" s="3"/>
      <x:c r="C1" s="3"/>
    </x:row>
    <x:row r="2" ht="28" customHeight="1">
      <x:c r="A2" s="7" t="str">
        <x:v>Políticas de calidad del equipo. DoR facilita refinamiento; DoD define un incremento potencialmente liberable.</x:v>
      </x:c>
      <x:c r="B2" s="7"/>
      <x:c r="C2" s="7"/>
    </x:row>
    <x:row r="4" ht="30" customHeight="1">
      <x:c r="A4" s="16" t="str">
        <x:v>Tipo</x:v>
      </x:c>
      <x:c r="B4" s="17" t="str">
        <x:v>Criterio</x:v>
      </x:c>
      <x:c r="C4" s="18" t="str">
        <x:v>Aplicación</x:v>
      </x:c>
    </x:row>
    <x:row r="5" ht="15" hidden="0" customHeight="1">
      <x:c r="A5" s="26" t="str">
        <x:v>DoR</x:v>
      </x:c>
      <x:c r="B5" s="26" t="str">
        <x:v>Expresa actor, necesidad y valor</x:v>
      </x:c>
      <x:c r="C5" s="26" t="str">
        <x:v>Sí</x:v>
      </x:c>
    </x:row>
    <x:row r="6" ht="15" hidden="0" customHeight="1">
      <x:c r="A6" s="27" t="str">
        <x:v>DoR</x:v>
      </x:c>
      <x:c r="B6" s="27" t="str">
        <x:v>Tiene criterios de aceptación observables</x:v>
      </x:c>
      <x:c r="C6" s="27" t="str">
        <x:v>Sí</x:v>
      </x:c>
    </x:row>
    <x:row r="7" ht="15" hidden="0" customHeight="1">
      <x:c r="A7" s="27" t="str">
        <x:v>DoR</x:v>
      </x:c>
      <x:c r="B7" s="27" t="str">
        <x:v>Identifica dependencias, datos, permisos y riesgos</x:v>
      </x:c>
      <x:c r="C7" s="27" t="str">
        <x:v>Sí</x:v>
      </x:c>
    </x:row>
    <x:row r="8" ht="15" hidden="0" customHeight="1">
      <x:c r="A8" s="27" t="str">
        <x:v>DoR</x:v>
      </x:c>
      <x:c r="B8" s="27" t="str">
        <x:v>Es suficientemente pequeña para un Sprint</x:v>
      </x:c>
      <x:c r="C8" s="27" t="str">
        <x:v>Sí</x:v>
      </x:c>
    </x:row>
    <x:row r="9" ht="15" hidden="0" customHeight="1">
      <x:c r="A9" s="27" t="str">
        <x:v>DoR</x:v>
      </x:c>
      <x:c r="B9" s="27" t="str">
        <x:v>Cuenta con spike o diseño si existe incertidumbre relevante</x:v>
      </x:c>
      <x:c r="C9" s="27" t="str">
        <x:v>Sí</x:v>
      </x:c>
    </x:row>
    <x:row r="10" ht="15" hidden="0" customHeight="1">
      <x:c r="A10" s="27" t="str">
        <x:v>DoR</x:v>
      </x:c>
      <x:c r="B10" s="27" t="str">
        <x:v>Puede estimarse por el equipo</x:v>
      </x:c>
      <x:c r="C10" s="27" t="str">
        <x:v>Sí</x:v>
      </x:c>
    </x:row>
    <x:row r="11" ht="15" hidden="0" customHeight="1">
      <x:c r="A11" s="27" t="str">
        <x:v>DoD</x:v>
      </x:c>
      <x:c r="B11" s="27" t="str">
        <x:v>Cumple criterios de aceptación</x:v>
      </x:c>
      <x:c r="C11" s="27" t="str">
        <x:v>Obligatorio</x:v>
      </x:c>
    </x:row>
    <x:row r="12" ht="15" hidden="0" customHeight="1">
      <x:c r="A12" s="27" t="str">
        <x:v>DoD</x:v>
      </x:c>
      <x:c r="B12" s="27" t="str">
        <x:v>Código y configuración revisados e integrados</x:v>
      </x:c>
      <x:c r="C12" s="27" t="str">
        <x:v>Obligatorio</x:v>
      </x:c>
    </x:row>
    <x:row r="13" ht="15" hidden="0" customHeight="1">
      <x:c r="A13" s="27" t="str">
        <x:v>DoD</x:v>
      </x:c>
      <x:c r="B13" s="27" t="str">
        <x:v>Pruebas críticas pasan</x:v>
      </x:c>
      <x:c r="C13" s="27" t="str">
        <x:v>Obligatorio</x:v>
      </x:c>
    </x:row>
    <x:row r="14" ht="15" hidden="0" customHeight="1">
      <x:c r="A14" s="27" t="str">
        <x:v>DoD</x:v>
      </x:c>
      <x:c r="B14" s="27" t="str">
        <x:v>Seguridad, privacidad, errores y observabilidad consideradas</x:v>
      </x:c>
      <x:c r="C14" s="27" t="str">
        <x:v>Obligatorio</x:v>
      </x:c>
    </x:row>
    <x:row r="15" ht="15" hidden="0" customHeight="1">
      <x:c r="A15" s="27" t="str">
        <x:v>DoD</x:v>
      </x:c>
      <x:c r="B15" s="27" t="str">
        <x:v>Sin secretos ni defectos críticos/altos conocidos</x:v>
      </x:c>
      <x:c r="C15" s="27" t="str">
        <x:v>Obligatorio</x:v>
      </x:c>
    </x:row>
    <x:row r="16" ht="15" hidden="0" customHeight="1">
      <x:c r="A16" s="27" t="str">
        <x:v>DoD</x:v>
      </x:c>
      <x:c r="B16" s="27" t="str">
        <x:v>Migraciones y rollback preparados</x:v>
      </x:c>
      <x:c r="C16" s="27" t="str">
        <x:v>Según corresponda</x:v>
      </x:c>
    </x:row>
    <x:row r="17" ht="15" hidden="0" customHeight="1">
      <x:c r="A17" s="27" t="str">
        <x:v>DoD</x:v>
      </x:c>
      <x:c r="B17" s="27" t="str">
        <x:v>Documentación técnica, operativa y de usuario actualizada</x:v>
      </x:c>
      <x:c r="C17" s="27" t="str">
        <x:v>Obligatorio</x:v>
      </x:c>
    </x:row>
    <x:row r="18" ht="15" hidden="0" customHeight="1">
      <x:c r="A18" s="28" t="str">
        <x:v>DoD</x:v>
      </x:c>
      <x:c r="B18" s="28" t="str">
        <x:v>Desplegado en staging y demostrable</x:v>
      </x:c>
      <x:c r="C18" s="28" t="str">
        <x:v>Obligatorio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43ce9d0c100443b2"/>
  </x:tableParts>
</x:worksheet>
</file>
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fea571915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or sprints" sheetId="1" r:id="R6a131bb058ae42b0"/>
    <x:sheet xmlns:r="http://schemas.openxmlformats.org/officeDocument/2006/relationships" name="Actividades" sheetId="2" r:id="R5c8955cfde9145a6"/>
    <x:sheet xmlns:r="http://schemas.openxmlformats.org/officeDocument/2006/relationships" name="Calendario y fuentes" sheetId="3" r:id="R0238dda03810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dd/mm"/>
    <x:numFmt numFmtId="203" formatCode="dd/mm/yy"/>
  </x:numFmts>
  <x:fonts count="6">
    <x:font>
      <x:sz val="11"/>
      <x:name val="Carlito"/>
    </x:font>
    <x:font>
      <x:sz val="10"/>
      <x:color rgb="FF20332E"/>
      <x:name val="Arial"/>
    </x:font>
    <x:font>
      <x:b/>
      <x:sz val="16"/>
      <x:color rgb="FF124D40"/>
      <x:name val="Arial"/>
    </x:font>
    <x:font>
      <x:b/>
      <x:sz val="10"/>
      <x:color rgb="FFFFFFFF"/>
      <x:name val="Arial"/>
    </x:font>
    <x:font>
      <x:b/>
      <x:sz val="12"/>
      <x:color rgb="FF20332E"/>
      <x:name val="Arial"/>
    </x:font>
    <x:font>
      <x:b/>
      <x:sz val="10"/>
      <x:color rgb="FF2033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4D40"/>
      </x:patternFill>
    </x:fill>
    <x:fill>
      <x:patternFill patternType="solid">
        <x:fgColor rgb="FFFFF4D9"/>
      </x:patternFill>
    </x:fill>
    <x:fill>
      <x:patternFill patternType="solid">
        <x:fgColor rgb="FFB7791F"/>
      </x:patternFill>
    </x:fill>
    <x:fill>
      <x:patternFill patternType="solid">
        <x:fgColor rgb="FFF4F7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24D40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ill>
        <x:patternFill patternType="solid">
          <x:bgColor rgb="FFE7F1EB"/>
        </x:patternFill>
      </x:fill>
    </x:dxf>
    <x:dxf>
      <x:fill>
        <x:patternFill patternType="solid">
          <x:bgColor rgb="FFF7E3AD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E8EBEE"/>
        </x:patternFill>
      </x:fill>
    </x:dxf>
    <x:dxf>
      <x:fill>
        <x:patternFill patternType="solid">
          <x:bgColor rgb="FFE7F1EB"/>
        </x:patternFill>
      </x:fill>
    </x:dxf>
    <x:dxf>
      <x:fill>
        <x:patternFill patternType="solid">
          <x:bgColor rgb="FFF7E3AD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E8EBEE"/>
        </x:patternFill>
      </x:fill>
    </x:dxf>
    <x:dxf>
      <x:font>
        <x:color rgb="FF20332E"/>
      </x:font>
      <x:fill>
        <x:patternFill patternType="solid">
          <x:bgColor rgb="FFE8EBEE"/>
        </x:patternFill>
      </x:fill>
    </x:dxf>
    <x:dxf>
      <x:font>
        <x:color rgb="FF20332E"/>
      </x:font>
      <x:fill>
        <x:patternFill patternType="solid">
          <x:bgColor rgb="FFF7E3AD"/>
        </x:patternFill>
      </x:fill>
    </x:dxf>
    <x:dxf>
      <x:font>
        <x:color rgb="FF20332E"/>
      </x:font>
      <x:fill>
        <x:patternFill patternType="solid">
          <x:bgColor rgb="FFDC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7f1509a7c48a1" /><Relationship Type="http://schemas.openxmlformats.org/officeDocument/2006/relationships/theme" Target="/xl/theme/theme1.xml" Id="Ra56f6c65c75447da" /><Relationship Type="http://schemas.openxmlformats.org/officeDocument/2006/relationships/sharedStrings" Target="/xl/sharedStrings.xml" Id="Rec03c06697d74cff" /><Relationship Type="http://schemas.openxmlformats.org/officeDocument/2006/relationships/worksheet" Target="/xl/worksheets/sheet1.xml" Id="R6a131bb058ae42b0" /><Relationship Type="http://schemas.openxmlformats.org/officeDocument/2006/relationships/worksheet" Target="/xl/worksheets/sheet2.xml" Id="R5c8955cfde9145a6" /><Relationship Type="http://schemas.openxmlformats.org/officeDocument/2006/relationships/worksheet" Target="/xl/worksheets/sheet3.xml" Id="R0238dda0381045e5" /></Relationships>
</file>

<file path=xl/tables/table1.xml><?xml version="1.0" encoding="utf-8"?>
<x:table xmlns:x="http://schemas.openxmlformats.org/spreadsheetml/2006/main" id="1" name="ActividadesSIGAA" displayName="ActividadesSIGAA" ref="A6:T51" headerRowCount="1" totalsRowCount="0" totalsRowShown="0">
  <x:autoFilter ref="A6:T51"/>
  <x:tableColumns count="20">
    <x:tableColumn id="1" name="ID"/>
    <x:tableColumn id="2" name="Jira"/>
    <x:tableColumn id="3" name="Actividad"/>
    <x:tableColumn id="4" name="Sprint en Jira"/>
    <x:tableColumn id="5" name="Estado en Jira"/>
    <x:tableColumn id="6" name="Puntos"/>
    <x:tableColumn id="7" name="Grupo de la Gantt"/>
    <x:tableColumn id="8" name="Disponible"/>
    <x:tableColumn id="9" name="Qué tenemos"/>
    <x:tableColumn id="10" name="Qué falta para cerrar"/>
    <x:tableColumn id="11" name="Responsable propuesto"/>
    <x:tableColumn id="12" name="Revisión propuesta"/>
    <x:tableColumn id="13" name="Inicio histórico"/>
    <x:tableColumn id="14" name="Fin histórico"/>
    <x:tableColumn id="15" name="Inicio restante"/>
    <x:tableColumn id="16" name="Fin restante"/>
    <x:tableColumn id="17" name="Días previstos"/>
    <x:tableColumn id="18" name="Dependencias"/>
    <x:tableColumn id="19" name="Prioridad"/>
    <x:tableColumn id="20" name="Evidencia / fuen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83476628434437" /></Relationships>
</file>

<file path=xl/worksheets/sheet1.xml><?xml version="1.0" encoding="utf-8"?>
<x:worksheet xmlns:x="http://schemas.openxmlformats.org/spreadsheetml/2006/main">
  <x:sheetPr>
    <x:tabColor rgb="FF124D40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18" hidden="0" customWidth="1"/>
    <x:col min="5" max="5" width="8" hidden="0" customWidth="1"/>
    <x:col min="6" max="6" width="16" hidden="0" customWidth="1"/>
    <x:col min="7" max="7" width="16" hidden="0" customWidth="1"/>
    <x:col min="8" max="8" width="3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4" t="str">
        <x:v>Carta Gantt SIGAA por sprints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2" t="str">
        <x:v>Sincronización Jira: 15-10-2026. Fechas de trabajo restante registradas; disponible y estado formal se muestran por separado.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Historias</x:v>
      </x:c>
      <x:c r="B4" s="2" t="n">
        <x:f>COUNT('Actividades'!$F$7:$F$51)</x:f>
        <x:v>40</x:v>
      </x:c>
      <x:c r="C4" s="2" t="str">
        <x:v>Puntos totales</x:v>
      </x:c>
      <x:c r="D4" s="2" t="n">
        <x:f>SUM('Actividades'!$F$7:$F$51)</x:f>
        <x:v>255</x:v>
      </x:c>
      <x:c r="E4" s="2"/>
      <x:c r="F4" s="2" t="str">
        <x:v>Terminadas</x:v>
      </x:c>
      <x:c r="G4" s="2" t="n">
        <x:f>COUNTIFS('Actividades'!$E$7:$E$51,"Terminada")</x:f>
        <x:v>2</x:v>
      </x:c>
      <x:c r="H4" s="2"/>
      <x:c r="I4" s="2" t="str">
        <x:v>En revisión</x:v>
      </x:c>
      <x:c r="J4" s="2"/>
      <x:c r="K4" s="2"/>
      <x:c r="L4" s="2" t="n">
        <x:f>COUNTIFS('Actividades'!$E$7:$E$51,"En revisión")</x:f>
        <x:v>22</x:v>
      </x:c>
      <x:c r="M4" s="2"/>
      <x:c r="N4" s="2" t="str">
        <x:v>En curso</x:v>
      </x:c>
      <x:c r="O4" s="2"/>
      <x:c r="P4" s="2"/>
      <x:c r="Q4" s="2" t="n">
        <x:f>COUNTIFS('Actividades'!$E$7:$E$51,"En curso")</x:f>
        <x:v>4</x:v>
      </x:c>
      <x:c r="R4" s="2"/>
      <x:c r="S4" s="2" t="str">
        <x:v>Pendientes</x:v>
      </x:c>
      <x:c r="T4" s="2"/>
      <x:c r="U4" s="2"/>
      <x:c r="V4" s="2" t="n">
        <x:f>COUNTIFS('Actividades'!$E$7:$E$51,"Pendiente")</x:f>
        <x:v>12</x:v>
      </x:c>
      <x:c r="W4" s="2"/>
      <x:c r="X4" s="2"/>
      <x:c r="Y4" s="2"/>
      <x:c r="Z4" s="2"/>
    </x:row>
    <x:row r="5">
      <x:c r="A5" s="2" t="str">
        <x:v>H: ventana histórica, no ejecución diaria. R: recuperación/revisión propuesta. P: plan sin ventana histórica. Puntos no son horas ni % de desarrollo.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S5-S7 registrados como futuros. S4 incluye el complemento PB-017. Reparto por ratificar; editar Excel no modifica Jira automáticamente.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Evaluaciones oficiales: avance 12-17 oct; final Fase 2 con presentación 16-21 nov; defensa 30 nov-12 dic. Confirmar hora y día en Campus.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17" t="str">
        <x:v>S1</x:v>
      </x:c>
      <x:c r="J8" s="17" t="str">
        <x:v>S2</x:v>
      </x:c>
      <x:c r="K8" s="17" t="str">
        <x:v>S3</x:v>
      </x:c>
      <x:c r="L8" s="17" t="str">
        <x:v>S4</x:v>
      </x:c>
      <x:c r="M8" s="17" t="str">
        <x:v>S5</x:v>
      </x:c>
      <x:c r="N8" s="17" t="str">
        <x:v>S6</x:v>
      </x:c>
      <x:c r="O8" s="17" t="str">
        <x:v>S7</x:v>
      </x:c>
      <x:c r="P8" s="17" t="str">
        <x:v>S8</x:v>
      </x:c>
      <x:c r="Q8" s="17" t="str">
        <x:v>S9</x:v>
      </x:c>
      <x:c r="R8" s="20" t="str">
        <x:v>S10</x:v>
      </x:c>
      <x:c r="S8" s="17" t="str">
        <x:v>S11</x:v>
      </x:c>
      <x:c r="T8" s="17" t="str">
        <x:v>S12</x:v>
      </x:c>
      <x:c r="U8" s="17" t="str">
        <x:v>S13</x:v>
      </x:c>
      <x:c r="V8" s="17" t="str">
        <x:v>S14</x:v>
      </x:c>
      <x:c r="W8" s="17" t="str">
        <x:v>S15</x:v>
      </x:c>
      <x:c r="X8" s="17" t="str">
        <x:v>S16</x:v>
      </x:c>
      <x:c r="Y8" s="17" t="str">
        <x:v>S17</x:v>
      </x:c>
      <x:c r="Z8" s="17" t="str">
        <x:v>S18</x:v>
      </x:c>
    </x:row>
    <x:row r="9" ht="36" customHeight="1">
      <x:c r="A9" s="9" t="str">
        <x:v>Jira / ID</x:v>
      </x:c>
      <x:c r="B9" s="9" t="str">
        <x:v>Actividad</x:v>
      </x:c>
      <x:c r="C9" s="9" t="str">
        <x:v>Estado Jira</x:v>
      </x:c>
      <x:c r="D9" s="9" t="str">
        <x:v>Disponible</x:v>
      </x:c>
      <x:c r="E9" s="9" t="str">
        <x:v>Puntos</x:v>
      </x:c>
      <x:c r="F9" s="9" t="str">
        <x:v>Inicio restante</x:v>
      </x:c>
      <x:c r="G9" s="9" t="str">
        <x:v>Fin restante</x:v>
      </x:c>
      <x:c r="H9" s="2"/>
      <x:c r="I9" s="16" t="d">
        <x:v>2026-08-10T00:00:00.000Z</x:v>
      </x:c>
      <x:c r="J9" s="16" t="d">
        <x:v>2026-08-17T00:00:00.000Z</x:v>
      </x:c>
      <x:c r="K9" s="16" t="d">
        <x:v>2026-08-24T00:00:00.000Z</x:v>
      </x:c>
      <x:c r="L9" s="16" t="d">
        <x:v>2026-08-31T00:00:00.000Z</x:v>
      </x:c>
      <x:c r="M9" s="16" t="d">
        <x:v>2026-09-07T00:00:00.000Z</x:v>
      </x:c>
      <x:c r="N9" s="16" t="d">
        <x:v>2026-09-14T00:00:00.000Z</x:v>
      </x:c>
      <x:c r="O9" s="16" t="d">
        <x:v>2026-09-21T00:00:00.000Z</x:v>
      </x:c>
      <x:c r="P9" s="16" t="d">
        <x:v>2026-09-28T00:00:00.000Z</x:v>
      </x:c>
      <x:c r="Q9" s="16" t="d">
        <x:v>2026-10-05T00:00:00.000Z</x:v>
      </x:c>
      <x:c r="R9" s="19" t="d">
        <x:v>2026-10-12T00:00:00.000Z</x:v>
      </x:c>
      <x:c r="S9" s="16" t="d">
        <x:v>2026-10-19T00:00:00.000Z</x:v>
      </x:c>
      <x:c r="T9" s="16" t="d">
        <x:v>2026-10-26T00:00:00.000Z</x:v>
      </x:c>
      <x:c r="U9" s="16" t="d">
        <x:v>2026-11-02T00:00:00.000Z</x:v>
      </x:c>
      <x:c r="V9" s="16" t="d">
        <x:v>2026-11-09T00:00:00.000Z</x:v>
      </x:c>
      <x:c r="W9" s="16" t="d">
        <x:v>2026-11-16T00:00:00.000Z</x:v>
      </x:c>
      <x:c r="X9" s="16" t="d">
        <x:v>2026-11-23T00:00:00.000Z</x:v>
      </x:c>
      <x:c r="Y9" s="16" t="d">
        <x:v>2026-11-30T00:00:00.000Z</x:v>
      </x:c>
      <x:c r="Z9" s="16" t="d">
        <x:v>2026-12-07T00:00:00.000Z</x:v>
      </x:c>
    </x:row>
    <x:row r="10" ht="24" customHeight="1">
      <x:c r="A10" s="7" t="str">
        <x:v>Sprint 0</x:v>
      </x:c>
      <x:c r="B10" s="7"/>
      <x:c r="C10" s="7"/>
      <x:c r="D10" s="7"/>
      <x:c r="E10" s="7" t="n">
        <x:f>SUMIFS('Actividades'!$F$7:$F$51,'Actividades'!$G$7:$G$51,A10)</x:f>
        <x:v>18</x:v>
      </x:c>
      <x:c r="F10" s="22"/>
      <x:c r="G10" s="22"/>
      <x:c r="H10" s="7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42" customHeight="1">
      <x:c r="A11" s="10" t="str">
        <x:f>IF('Actividades'!B7="",'Actividades'!A7,'Actividades'!B7)</x:f>
        <x:v>SCRUM-13</x:v>
      </x:c>
      <x:c r="B11" s="10" t="str">
        <x:f>'Actividades'!C7</x:f>
        <x:v>Validar problema usuarios y restricciones</x:v>
      </x:c>
      <x:c r="C11" s="10" t="str">
        <x:f>IF('Actividades'!E7="No aplica","Propuesta",'Actividades'!E7)</x:f>
        <x:v>En revisión</x:v>
      </x:c>
      <x:c r="D11" s="10" t="str">
        <x:f>'Actividades'!H7</x:f>
        <x:v>Documentado</x:v>
      </x:c>
      <x:c r="E11" s="10" t="n">
        <x:f>IF('Actividades'!F7="","",'Actividades'!F7)</x:f>
        <x:v>5</x:v>
      </x:c>
      <x:c r="F11" s="23" t="n">
        <x:f>IF('Actividades'!O7="","",'Actividades'!O7)</x:f>
        <x:v>46314</x:v>
      </x:c>
      <x:c r="G11" s="23" t="n">
        <x:f>IF('Actividades'!P7="","",'Actividades'!P7)</x:f>
        <x:v>46319</x:v>
      </x:c>
      <x:c r="H11" s="2"/>
      <x:c r="I11" s="27" t="str">
        <x:f>IF(AND(ISNUMBER($F11),ISNUMBER($G11),$F11&lt;=I$9+6,$G11&gt;=I$9),IF('Actividades'!$M7&gt;0,"R","P"),IF(AND('Actividades'!$M7&gt;0,'Actividades'!$M7&lt;=I$9+6,'Actividades'!$N7&gt;=I$9),"H",""))</x:f>
        <x:v>H</x:v>
      </x:c>
      <x:c r="J11" s="27" t="str">
        <x:f>IF(AND(ISNUMBER($F11),ISNUMBER($G11),$F11&lt;=J$9+6,$G11&gt;=J$9),IF('Actividades'!$M7&gt;0,"R","P"),IF(AND('Actividades'!$M7&gt;0,'Actividades'!$M7&lt;=J$9+6,'Actividades'!$N7&gt;=J$9),"H",""))</x:f>
        <x:v>H</x:v>
      </x:c>
      <x:c r="K11" s="27" t="str">
        <x:f>IF(AND(ISNUMBER($F11),ISNUMBER($G11),$F11&lt;=K$9+6,$G11&gt;=K$9),IF('Actividades'!$M7&gt;0,"R","P"),IF(AND('Actividades'!$M7&gt;0,'Actividades'!$M7&lt;=K$9+6,'Actividades'!$N7&gt;=K$9),"H",""))</x:f>
      </x:c>
      <x:c r="L11" s="27" t="str">
        <x:f>IF(AND(ISNUMBER($F11),ISNUMBER($G11),$F11&lt;=L$9+6,$G11&gt;=L$9),IF('Actividades'!$M7&gt;0,"R","P"),IF(AND('Actividades'!$M7&gt;0,'Actividades'!$M7&lt;=L$9+6,'Actividades'!$N7&gt;=L$9),"H",""))</x:f>
      </x:c>
      <x:c r="M11" s="27" t="str">
        <x:f>IF(AND(ISNUMBER($F11),ISNUMBER($G11),$F11&lt;=M$9+6,$G11&gt;=M$9),IF('Actividades'!$M7&gt;0,"R","P"),IF(AND('Actividades'!$M7&gt;0,'Actividades'!$M7&lt;=M$9+6,'Actividades'!$N7&gt;=M$9),"H",""))</x:f>
      </x:c>
      <x:c r="N11" s="27" t="str">
        <x:f>IF(AND(ISNUMBER($F11),ISNUMBER($G11),$F11&lt;=N$9+6,$G11&gt;=N$9),IF('Actividades'!$M7&gt;0,"R","P"),IF(AND('Actividades'!$M7&gt;0,'Actividades'!$M7&lt;=N$9+6,'Actividades'!$N7&gt;=N$9),"H",""))</x:f>
      </x:c>
      <x:c r="O11" s="27" t="str">
        <x:f>IF(AND(ISNUMBER($F11),ISNUMBER($G11),$F11&lt;=O$9+6,$G11&gt;=O$9),IF('Actividades'!$M7&gt;0,"R","P"),IF(AND('Actividades'!$M7&gt;0,'Actividades'!$M7&lt;=O$9+6,'Actividades'!$N7&gt;=O$9),"H",""))</x:f>
      </x:c>
      <x:c r="P11" s="27" t="str">
        <x:f>IF(AND(ISNUMBER($F11),ISNUMBER($G11),$F11&lt;=P$9+6,$G11&gt;=P$9),IF('Actividades'!$M7&gt;0,"R","P"),IF(AND('Actividades'!$M7&gt;0,'Actividades'!$M7&lt;=P$9+6,'Actividades'!$N7&gt;=P$9),"H",""))</x:f>
      </x:c>
      <x:c r="Q11" s="27" t="str">
        <x:f>IF(AND(ISNUMBER($F11),ISNUMBER($G11),$F11&lt;=Q$9+6,$G11&gt;=Q$9),IF('Actividades'!$M7&gt;0,"R","P"),IF(AND('Actividades'!$M7&gt;0,'Actividades'!$M7&lt;=Q$9+6,'Actividades'!$N7&gt;=Q$9),"H",""))</x:f>
      </x:c>
      <x:c r="R11" s="27" t="str">
        <x:f>IF(AND(ISNUMBER($F11),ISNUMBER($G11),$F11&lt;=R$9+6,$G11&gt;=R$9),IF('Actividades'!$M7&gt;0,"R","P"),IF(AND('Actividades'!$M7&gt;0,'Actividades'!$M7&lt;=R$9+6,'Actividades'!$N7&gt;=R$9),"H",""))</x:f>
      </x:c>
      <x:c r="S11" s="27" t="str">
        <x:f>IF(AND(ISNUMBER($F11),ISNUMBER($G11),$F11&lt;=S$9+6,$G11&gt;=S$9),IF('Actividades'!$M7&gt;0,"R","P"),IF(AND('Actividades'!$M7&gt;0,'Actividades'!$M7&lt;=S$9+6,'Actividades'!$N7&gt;=S$9),"H",""))</x:f>
        <x:v>R</x:v>
      </x:c>
      <x:c r="T11" s="27" t="str">
        <x:f>IF(AND(ISNUMBER($F11),ISNUMBER($G11),$F11&lt;=T$9+6,$G11&gt;=T$9),IF('Actividades'!$M7&gt;0,"R","P"),IF(AND('Actividades'!$M7&gt;0,'Actividades'!$M7&lt;=T$9+6,'Actividades'!$N7&gt;=T$9),"H",""))</x:f>
      </x:c>
      <x:c r="U11" s="27" t="str">
        <x:f>IF(AND(ISNUMBER($F11),ISNUMBER($G11),$F11&lt;=U$9+6,$G11&gt;=U$9),IF('Actividades'!$M7&gt;0,"R","P"),IF(AND('Actividades'!$M7&gt;0,'Actividades'!$M7&lt;=U$9+6,'Actividades'!$N7&gt;=U$9),"H",""))</x:f>
      </x:c>
      <x:c r="V11" s="27" t="str">
        <x:f>IF(AND(ISNUMBER($F11),ISNUMBER($G11),$F11&lt;=V$9+6,$G11&gt;=V$9),IF('Actividades'!$M7&gt;0,"R","P"),IF(AND('Actividades'!$M7&gt;0,'Actividades'!$M7&lt;=V$9+6,'Actividades'!$N7&gt;=V$9),"H",""))</x:f>
      </x:c>
      <x:c r="W11" s="27" t="str">
        <x:f>IF(AND(ISNUMBER($F11),ISNUMBER($G11),$F11&lt;=W$9+6,$G11&gt;=W$9),IF('Actividades'!$M7&gt;0,"R","P"),IF(AND('Actividades'!$M7&gt;0,'Actividades'!$M7&lt;=W$9+6,'Actividades'!$N7&gt;=W$9),"H",""))</x:f>
      </x:c>
      <x:c r="X11" s="27" t="str">
        <x:f>IF(AND(ISNUMBER($F11),ISNUMBER($G11),$F11&lt;=X$9+6,$G11&gt;=X$9),IF('Actividades'!$M7&gt;0,"R","P"),IF(AND('Actividades'!$M7&gt;0,'Actividades'!$M7&lt;=X$9+6,'Actividades'!$N7&gt;=X$9),"H",""))</x:f>
      </x:c>
      <x:c r="Y11" s="27" t="str">
        <x:f>IF(AND(ISNUMBER($F11),ISNUMBER($G11),$F11&lt;=Y$9+6,$G11&gt;=Y$9),IF('Actividades'!$M7&gt;0,"R","P"),IF(AND('Actividades'!$M7&gt;0,'Actividades'!$M7&lt;=Y$9+6,'Actividades'!$N7&gt;=Y$9),"H",""))</x:f>
      </x:c>
      <x:c r="Z11" s="27" t="str">
        <x:f>IF(AND(ISNUMBER($F11),ISNUMBER($G11),$F11&lt;=Z$9+6,$G11&gt;=Z$9),IF('Actividades'!$M7&gt;0,"R","P"),IF(AND('Actividades'!$M7&gt;0,'Actividades'!$M7&lt;=Z$9+6,'Actividades'!$N7&gt;=Z$9),"H",""))</x:f>
      </x:c>
    </x:row>
    <x:row r="12" ht="42" customHeight="1">
      <x:c r="A12" s="21" t="str">
        <x:f>IF('Actividades'!B8="",'Actividades'!A8,'Actividades'!B8)</x:f>
        <x:v>SCRUM-14</x:v>
      </x:c>
      <x:c r="B12" s="21" t="str">
        <x:f>'Actividades'!C8</x:f>
        <x:v>Product Vision y cuatro pilares</x:v>
      </x:c>
      <x:c r="C12" s="21" t="str">
        <x:f>IF('Actividades'!E8="No aplica","Propuesta",'Actividades'!E8)</x:f>
        <x:v>En revisión</x:v>
      </x:c>
      <x:c r="D12" s="21" t="str">
        <x:f>'Actividades'!H8</x:f>
        <x:v>Documentado</x:v>
      </x:c>
      <x:c r="E12" s="21" t="n">
        <x:f>IF('Actividades'!F8="","",'Actividades'!F8)</x:f>
        <x:v>3</x:v>
      </x:c>
      <x:c r="F12" s="24" t="n">
        <x:f>IF('Actividades'!O8="","",'Actividades'!O8)</x:f>
        <x:v>46314</x:v>
      </x:c>
      <x:c r="G12" s="24" t="n">
        <x:f>IF('Actividades'!P8="","",'Actividades'!P8)</x:f>
        <x:v>46319</x:v>
      </x:c>
      <x:c r="H12" s="2"/>
      <x:c r="I12" s="27" t="str">
        <x:f>IF(AND(ISNUMBER($F12),ISNUMBER($G12),$F12&lt;=I$9+6,$G12&gt;=I$9),IF('Actividades'!$M8&gt;0,"R","P"),IF(AND('Actividades'!$M8&gt;0,'Actividades'!$M8&lt;=I$9+6,'Actividades'!$N8&gt;=I$9),"H",""))</x:f>
        <x:v>H</x:v>
      </x:c>
      <x:c r="J12" s="27" t="str">
        <x:f>IF(AND(ISNUMBER($F12),ISNUMBER($G12),$F12&lt;=J$9+6,$G12&gt;=J$9),IF('Actividades'!$M8&gt;0,"R","P"),IF(AND('Actividades'!$M8&gt;0,'Actividades'!$M8&lt;=J$9+6,'Actividades'!$N8&gt;=J$9),"H",""))</x:f>
        <x:v>H</x:v>
      </x:c>
      <x:c r="K12" s="27" t="str">
        <x:f>IF(AND(ISNUMBER($F12),ISNUMBER($G12),$F12&lt;=K$9+6,$G12&gt;=K$9),IF('Actividades'!$M8&gt;0,"R","P"),IF(AND('Actividades'!$M8&gt;0,'Actividades'!$M8&lt;=K$9+6,'Actividades'!$N8&gt;=K$9),"H",""))</x:f>
      </x:c>
      <x:c r="L12" s="27" t="str">
        <x:f>IF(AND(ISNUMBER($F12),ISNUMBER($G12),$F12&lt;=L$9+6,$G12&gt;=L$9),IF('Actividades'!$M8&gt;0,"R","P"),IF(AND('Actividades'!$M8&gt;0,'Actividades'!$M8&lt;=L$9+6,'Actividades'!$N8&gt;=L$9),"H",""))</x:f>
      </x:c>
      <x:c r="M12" s="27" t="str">
        <x:f>IF(AND(ISNUMBER($F12),ISNUMBER($G12),$F12&lt;=M$9+6,$G12&gt;=M$9),IF('Actividades'!$M8&gt;0,"R","P"),IF(AND('Actividades'!$M8&gt;0,'Actividades'!$M8&lt;=M$9+6,'Actividades'!$N8&gt;=M$9),"H",""))</x:f>
      </x:c>
      <x:c r="N12" s="27" t="str">
        <x:f>IF(AND(ISNUMBER($F12),ISNUMBER($G12),$F12&lt;=N$9+6,$G12&gt;=N$9),IF('Actividades'!$M8&gt;0,"R","P"),IF(AND('Actividades'!$M8&gt;0,'Actividades'!$M8&lt;=N$9+6,'Actividades'!$N8&gt;=N$9),"H",""))</x:f>
      </x:c>
      <x:c r="O12" s="27" t="str">
        <x:f>IF(AND(ISNUMBER($F12),ISNUMBER($G12),$F12&lt;=O$9+6,$G12&gt;=O$9),IF('Actividades'!$M8&gt;0,"R","P"),IF(AND('Actividades'!$M8&gt;0,'Actividades'!$M8&lt;=O$9+6,'Actividades'!$N8&gt;=O$9),"H",""))</x:f>
      </x:c>
      <x:c r="P12" s="27" t="str">
        <x:f>IF(AND(ISNUMBER($F12),ISNUMBER($G12),$F12&lt;=P$9+6,$G12&gt;=P$9),IF('Actividades'!$M8&gt;0,"R","P"),IF(AND('Actividades'!$M8&gt;0,'Actividades'!$M8&lt;=P$9+6,'Actividades'!$N8&gt;=P$9),"H",""))</x:f>
      </x:c>
      <x:c r="Q12" s="27" t="str">
        <x:f>IF(AND(ISNUMBER($F12),ISNUMBER($G12),$F12&lt;=Q$9+6,$G12&gt;=Q$9),IF('Actividades'!$M8&gt;0,"R","P"),IF(AND('Actividades'!$M8&gt;0,'Actividades'!$M8&lt;=Q$9+6,'Actividades'!$N8&gt;=Q$9),"H",""))</x:f>
      </x:c>
      <x:c r="R12" s="27" t="str">
        <x:f>IF(AND(ISNUMBER($F12),ISNUMBER($G12),$F12&lt;=R$9+6,$G12&gt;=R$9),IF('Actividades'!$M8&gt;0,"R","P"),IF(AND('Actividades'!$M8&gt;0,'Actividades'!$M8&lt;=R$9+6,'Actividades'!$N8&gt;=R$9),"H",""))</x:f>
      </x:c>
      <x:c r="S12" s="27" t="str">
        <x:f>IF(AND(ISNUMBER($F12),ISNUMBER($G12),$F12&lt;=S$9+6,$G12&gt;=S$9),IF('Actividades'!$M8&gt;0,"R","P"),IF(AND('Actividades'!$M8&gt;0,'Actividades'!$M8&lt;=S$9+6,'Actividades'!$N8&gt;=S$9),"H",""))</x:f>
        <x:v>R</x:v>
      </x:c>
      <x:c r="T12" s="27" t="str">
        <x:f>IF(AND(ISNUMBER($F12),ISNUMBER($G12),$F12&lt;=T$9+6,$G12&gt;=T$9),IF('Actividades'!$M8&gt;0,"R","P"),IF(AND('Actividades'!$M8&gt;0,'Actividades'!$M8&lt;=T$9+6,'Actividades'!$N8&gt;=T$9),"H",""))</x:f>
      </x:c>
      <x:c r="U12" s="27" t="str">
        <x:f>IF(AND(ISNUMBER($F12),ISNUMBER($G12),$F12&lt;=U$9+6,$G12&gt;=U$9),IF('Actividades'!$M8&gt;0,"R","P"),IF(AND('Actividades'!$M8&gt;0,'Actividades'!$M8&lt;=U$9+6,'Actividades'!$N8&gt;=U$9),"H",""))</x:f>
      </x:c>
      <x:c r="V12" s="27" t="str">
        <x:f>IF(AND(ISNUMBER($F12),ISNUMBER($G12),$F12&lt;=V$9+6,$G12&gt;=V$9),IF('Actividades'!$M8&gt;0,"R","P"),IF(AND('Actividades'!$M8&gt;0,'Actividades'!$M8&lt;=V$9+6,'Actividades'!$N8&gt;=V$9),"H",""))</x:f>
      </x:c>
      <x:c r="W12" s="27" t="str">
        <x:f>IF(AND(ISNUMBER($F12),ISNUMBER($G12),$F12&lt;=W$9+6,$G12&gt;=W$9),IF('Actividades'!$M8&gt;0,"R","P"),IF(AND('Actividades'!$M8&gt;0,'Actividades'!$M8&lt;=W$9+6,'Actividades'!$N8&gt;=W$9),"H",""))</x:f>
      </x:c>
      <x:c r="X12" s="27" t="str">
        <x:f>IF(AND(ISNUMBER($F12),ISNUMBER($G12),$F12&lt;=X$9+6,$G12&gt;=X$9),IF('Actividades'!$M8&gt;0,"R","P"),IF(AND('Actividades'!$M8&gt;0,'Actividades'!$M8&lt;=X$9+6,'Actividades'!$N8&gt;=X$9),"H",""))</x:f>
      </x:c>
      <x:c r="Y12" s="27" t="str">
        <x:f>IF(AND(ISNUMBER($F12),ISNUMBER($G12),$F12&lt;=Y$9+6,$G12&gt;=Y$9),IF('Actividades'!$M8&gt;0,"R","P"),IF(AND('Actividades'!$M8&gt;0,'Actividades'!$M8&lt;=Y$9+6,'Actividades'!$N8&gt;=Y$9),"H",""))</x:f>
      </x:c>
      <x:c r="Z12" s="27" t="str">
        <x:f>IF(AND(ISNUMBER($F12),ISNUMBER($G12),$F12&lt;=Z$9+6,$G12&gt;=Z$9),IF('Actividades'!$M8&gt;0,"R","P"),IF(AND('Actividades'!$M8&gt;0,'Actividades'!$M8&lt;=Z$9+6,'Actividades'!$N8&gt;=Z$9),"H",""))</x:f>
      </x:c>
    </x:row>
    <x:row r="13" ht="42" customHeight="1">
      <x:c r="A13" s="10" t="str">
        <x:f>IF('Actividades'!B9="",'Actividades'!A9,'Actividades'!B9)</x:f>
        <x:v>SCRUM-15</x:v>
      </x:c>
      <x:c r="B13" s="10" t="str">
        <x:f>'Actividades'!C9</x:f>
        <x:v>Backlog priorizado y estimado</x:v>
      </x:c>
      <x:c r="C13" s="10" t="str">
        <x:f>IF('Actividades'!E9="No aplica","Propuesta",'Actividades'!E9)</x:f>
        <x:v>En revisión</x:v>
      </x:c>
      <x:c r="D13" s="10" t="str">
        <x:f>'Actividades'!H9</x:f>
        <x:v>Documentado</x:v>
      </x:c>
      <x:c r="E13" s="10" t="n">
        <x:f>IF('Actividades'!F9="","",'Actividades'!F9)</x:f>
        <x:v>5</x:v>
      </x:c>
      <x:c r="F13" s="23" t="n">
        <x:f>IF('Actividades'!O9="","",'Actividades'!O9)</x:f>
        <x:v>46310</x:v>
      </x:c>
      <x:c r="G13" s="23" t="n">
        <x:f>IF('Actividades'!P9="","",'Actividades'!P9)</x:f>
        <x:v>46312</x:v>
      </x:c>
      <x:c r="H13" s="2"/>
      <x:c r="I13" s="27" t="str">
        <x:f>IF(AND(ISNUMBER($F13),ISNUMBER($G13),$F13&lt;=I$9+6,$G13&gt;=I$9),IF('Actividades'!$M9&gt;0,"R","P"),IF(AND('Actividades'!$M9&gt;0,'Actividades'!$M9&lt;=I$9+6,'Actividades'!$N9&gt;=I$9),"H",""))</x:f>
        <x:v>H</x:v>
      </x:c>
      <x:c r="J13" s="27" t="str">
        <x:f>IF(AND(ISNUMBER($F13),ISNUMBER($G13),$F13&lt;=J$9+6,$G13&gt;=J$9),IF('Actividades'!$M9&gt;0,"R","P"),IF(AND('Actividades'!$M9&gt;0,'Actividades'!$M9&lt;=J$9+6,'Actividades'!$N9&gt;=J$9),"H",""))</x:f>
        <x:v>H</x:v>
      </x:c>
      <x:c r="K13" s="27" t="str">
        <x:f>IF(AND(ISNUMBER($F13),ISNUMBER($G13),$F13&lt;=K$9+6,$G13&gt;=K$9),IF('Actividades'!$M9&gt;0,"R","P"),IF(AND('Actividades'!$M9&gt;0,'Actividades'!$M9&lt;=K$9+6,'Actividades'!$N9&gt;=K$9),"H",""))</x:f>
      </x:c>
      <x:c r="L13" s="27" t="str">
        <x:f>IF(AND(ISNUMBER($F13),ISNUMBER($G13),$F13&lt;=L$9+6,$G13&gt;=L$9),IF('Actividades'!$M9&gt;0,"R","P"),IF(AND('Actividades'!$M9&gt;0,'Actividades'!$M9&lt;=L$9+6,'Actividades'!$N9&gt;=L$9),"H",""))</x:f>
      </x:c>
      <x:c r="M13" s="27" t="str">
        <x:f>IF(AND(ISNUMBER($F13),ISNUMBER($G13),$F13&lt;=M$9+6,$G13&gt;=M$9),IF('Actividades'!$M9&gt;0,"R","P"),IF(AND('Actividades'!$M9&gt;0,'Actividades'!$M9&lt;=M$9+6,'Actividades'!$N9&gt;=M$9),"H",""))</x:f>
      </x:c>
      <x:c r="N13" s="27" t="str">
        <x:f>IF(AND(ISNUMBER($F13),ISNUMBER($G13),$F13&lt;=N$9+6,$G13&gt;=N$9),IF('Actividades'!$M9&gt;0,"R","P"),IF(AND('Actividades'!$M9&gt;0,'Actividades'!$M9&lt;=N$9+6,'Actividades'!$N9&gt;=N$9),"H",""))</x:f>
      </x:c>
      <x:c r="O13" s="27" t="str">
        <x:f>IF(AND(ISNUMBER($F13),ISNUMBER($G13),$F13&lt;=O$9+6,$G13&gt;=O$9),IF('Actividades'!$M9&gt;0,"R","P"),IF(AND('Actividades'!$M9&gt;0,'Actividades'!$M9&lt;=O$9+6,'Actividades'!$N9&gt;=O$9),"H",""))</x:f>
      </x:c>
      <x:c r="P13" s="27" t="str">
        <x:f>IF(AND(ISNUMBER($F13),ISNUMBER($G13),$F13&lt;=P$9+6,$G13&gt;=P$9),IF('Actividades'!$M9&gt;0,"R","P"),IF(AND('Actividades'!$M9&gt;0,'Actividades'!$M9&lt;=P$9+6,'Actividades'!$N9&gt;=P$9),"H",""))</x:f>
      </x:c>
      <x:c r="Q13" s="27" t="str">
        <x:f>IF(AND(ISNUMBER($F13),ISNUMBER($G13),$F13&lt;=Q$9+6,$G13&gt;=Q$9),IF('Actividades'!$M9&gt;0,"R","P"),IF(AND('Actividades'!$M9&gt;0,'Actividades'!$M9&lt;=Q$9+6,'Actividades'!$N9&gt;=Q$9),"H",""))</x:f>
      </x:c>
      <x:c r="R13" s="27" t="str">
        <x:f>IF(AND(ISNUMBER($F13),ISNUMBER($G13),$F13&lt;=R$9+6,$G13&gt;=R$9),IF('Actividades'!$M9&gt;0,"R","P"),IF(AND('Actividades'!$M9&gt;0,'Actividades'!$M9&lt;=R$9+6,'Actividades'!$N9&gt;=R$9),"H",""))</x:f>
        <x:v>R</x:v>
      </x:c>
      <x:c r="S13" s="27" t="str">
        <x:f>IF(AND(ISNUMBER($F13),ISNUMBER($G13),$F13&lt;=S$9+6,$G13&gt;=S$9),IF('Actividades'!$M9&gt;0,"R","P"),IF(AND('Actividades'!$M9&gt;0,'Actividades'!$M9&lt;=S$9+6,'Actividades'!$N9&gt;=S$9),"H",""))</x:f>
      </x:c>
      <x:c r="T13" s="27" t="str">
        <x:f>IF(AND(ISNUMBER($F13),ISNUMBER($G13),$F13&lt;=T$9+6,$G13&gt;=T$9),IF('Actividades'!$M9&gt;0,"R","P"),IF(AND('Actividades'!$M9&gt;0,'Actividades'!$M9&lt;=T$9+6,'Actividades'!$N9&gt;=T$9),"H",""))</x:f>
      </x:c>
      <x:c r="U13" s="27" t="str">
        <x:f>IF(AND(ISNUMBER($F13),ISNUMBER($G13),$F13&lt;=U$9+6,$G13&gt;=U$9),IF('Actividades'!$M9&gt;0,"R","P"),IF(AND('Actividades'!$M9&gt;0,'Actividades'!$M9&lt;=U$9+6,'Actividades'!$N9&gt;=U$9),"H",""))</x:f>
      </x:c>
      <x:c r="V13" s="27" t="str">
        <x:f>IF(AND(ISNUMBER($F13),ISNUMBER($G13),$F13&lt;=V$9+6,$G13&gt;=V$9),IF('Actividades'!$M9&gt;0,"R","P"),IF(AND('Actividades'!$M9&gt;0,'Actividades'!$M9&lt;=V$9+6,'Actividades'!$N9&gt;=V$9),"H",""))</x:f>
      </x:c>
      <x:c r="W13" s="27" t="str">
        <x:f>IF(AND(ISNUMBER($F13),ISNUMBER($G13),$F13&lt;=W$9+6,$G13&gt;=W$9),IF('Actividades'!$M9&gt;0,"R","P"),IF(AND('Actividades'!$M9&gt;0,'Actividades'!$M9&lt;=W$9+6,'Actividades'!$N9&gt;=W$9),"H",""))</x:f>
      </x:c>
      <x:c r="X13" s="27" t="str">
        <x:f>IF(AND(ISNUMBER($F13),ISNUMBER($G13),$F13&lt;=X$9+6,$G13&gt;=X$9),IF('Actividades'!$M9&gt;0,"R","P"),IF(AND('Actividades'!$M9&gt;0,'Actividades'!$M9&lt;=X$9+6,'Actividades'!$N9&gt;=X$9),"H",""))</x:f>
      </x:c>
      <x:c r="Y13" s="27" t="str">
        <x:f>IF(AND(ISNUMBER($F13),ISNUMBER($G13),$F13&lt;=Y$9+6,$G13&gt;=Y$9),IF('Actividades'!$M9&gt;0,"R","P"),IF(AND('Actividades'!$M9&gt;0,'Actividades'!$M9&lt;=Y$9+6,'Actividades'!$N9&gt;=Y$9),"H",""))</x:f>
      </x:c>
      <x:c r="Z13" s="27" t="str">
        <x:f>IF(AND(ISNUMBER($F13),ISNUMBER($G13),$F13&lt;=Z$9+6,$G13&gt;=Z$9),IF('Actividades'!$M9&gt;0,"R","P"),IF(AND('Actividades'!$M9&gt;0,'Actividades'!$M9&lt;=Z$9+6,'Actividades'!$N9&gt;=Z$9),"H",""))</x:f>
      </x:c>
    </x:row>
    <x:row r="14" ht="42" customHeight="1">
      <x:c r="A14" s="21" t="str">
        <x:f>IF('Actividades'!B10="",'Actividades'!A10,'Actividades'!B10)</x:f>
        <x:v>SCRUM-16</x:v>
      </x:c>
      <x:c r="B14" s="21" t="str">
        <x:f>'Actividades'!C10</x:f>
        <x:v>Definition of Done</x:v>
      </x:c>
      <x:c r="C14" s="21" t="str">
        <x:f>IF('Actividades'!E10="No aplica","Propuesta",'Actividades'!E10)</x:f>
        <x:v>En revisión</x:v>
      </x:c>
      <x:c r="D14" s="21" t="str">
        <x:f>'Actividades'!H10</x:f>
        <x:v>Documentado</x:v>
      </x:c>
      <x:c r="E14" s="21" t="n">
        <x:f>IF('Actividades'!F10="","",'Actividades'!F10)</x:f>
        <x:v>2</x:v>
      </x:c>
      <x:c r="F14" s="24" t="n">
        <x:f>IF('Actividades'!O10="","",'Actividades'!O10)</x:f>
        <x:v>46310</x:v>
      </x:c>
      <x:c r="G14" s="24" t="n">
        <x:f>IF('Actividades'!P10="","",'Actividades'!P10)</x:f>
        <x:v>46312</x:v>
      </x:c>
      <x:c r="H14" s="2"/>
      <x:c r="I14" s="27" t="str">
        <x:f>IF(AND(ISNUMBER($F14),ISNUMBER($G14),$F14&lt;=I$9+6,$G14&gt;=I$9),IF('Actividades'!$M10&gt;0,"R","P"),IF(AND('Actividades'!$M10&gt;0,'Actividades'!$M10&lt;=I$9+6,'Actividades'!$N10&gt;=I$9),"H",""))</x:f>
        <x:v>H</x:v>
      </x:c>
      <x:c r="J14" s="27" t="str">
        <x:f>IF(AND(ISNUMBER($F14),ISNUMBER($G14),$F14&lt;=J$9+6,$G14&gt;=J$9),IF('Actividades'!$M10&gt;0,"R","P"),IF(AND('Actividades'!$M10&gt;0,'Actividades'!$M10&lt;=J$9+6,'Actividades'!$N10&gt;=J$9),"H",""))</x:f>
        <x:v>H</x:v>
      </x:c>
      <x:c r="K14" s="27" t="str">
        <x:f>IF(AND(ISNUMBER($F14),ISNUMBER($G14),$F14&lt;=K$9+6,$G14&gt;=K$9),IF('Actividades'!$M10&gt;0,"R","P"),IF(AND('Actividades'!$M10&gt;0,'Actividades'!$M10&lt;=K$9+6,'Actividades'!$N10&gt;=K$9),"H",""))</x:f>
      </x:c>
      <x:c r="L14" s="27" t="str">
        <x:f>IF(AND(ISNUMBER($F14),ISNUMBER($G14),$F14&lt;=L$9+6,$G14&gt;=L$9),IF('Actividades'!$M10&gt;0,"R","P"),IF(AND('Actividades'!$M10&gt;0,'Actividades'!$M10&lt;=L$9+6,'Actividades'!$N10&gt;=L$9),"H",""))</x:f>
      </x:c>
      <x:c r="M14" s="27" t="str">
        <x:f>IF(AND(ISNUMBER($F14),ISNUMBER($G14),$F14&lt;=M$9+6,$G14&gt;=M$9),IF('Actividades'!$M10&gt;0,"R","P"),IF(AND('Actividades'!$M10&gt;0,'Actividades'!$M10&lt;=M$9+6,'Actividades'!$N10&gt;=M$9),"H",""))</x:f>
      </x:c>
      <x:c r="N14" s="27" t="str">
        <x:f>IF(AND(ISNUMBER($F14),ISNUMBER($G14),$F14&lt;=N$9+6,$G14&gt;=N$9),IF('Actividades'!$M10&gt;0,"R","P"),IF(AND('Actividades'!$M10&gt;0,'Actividades'!$M10&lt;=N$9+6,'Actividades'!$N10&gt;=N$9),"H",""))</x:f>
      </x:c>
      <x:c r="O14" s="27" t="str">
        <x:f>IF(AND(ISNUMBER($F14),ISNUMBER($G14),$F14&lt;=O$9+6,$G14&gt;=O$9),IF('Actividades'!$M10&gt;0,"R","P"),IF(AND('Actividades'!$M10&gt;0,'Actividades'!$M10&lt;=O$9+6,'Actividades'!$N10&gt;=O$9),"H",""))</x:f>
      </x:c>
      <x:c r="P14" s="27" t="str">
        <x:f>IF(AND(ISNUMBER($F14),ISNUMBER($G14),$F14&lt;=P$9+6,$G14&gt;=P$9),IF('Actividades'!$M10&gt;0,"R","P"),IF(AND('Actividades'!$M10&gt;0,'Actividades'!$M10&lt;=P$9+6,'Actividades'!$N10&gt;=P$9),"H",""))</x:f>
      </x:c>
      <x:c r="Q14" s="27" t="str">
        <x:f>IF(AND(ISNUMBER($F14),ISNUMBER($G14),$F14&lt;=Q$9+6,$G14&gt;=Q$9),IF('Actividades'!$M10&gt;0,"R","P"),IF(AND('Actividades'!$M10&gt;0,'Actividades'!$M10&lt;=Q$9+6,'Actividades'!$N10&gt;=Q$9),"H",""))</x:f>
      </x:c>
      <x:c r="R14" s="27" t="str">
        <x:f>IF(AND(ISNUMBER($F14),ISNUMBER($G14),$F14&lt;=R$9+6,$G14&gt;=R$9),IF('Actividades'!$M10&gt;0,"R","P"),IF(AND('Actividades'!$M10&gt;0,'Actividades'!$M10&lt;=R$9+6,'Actividades'!$N10&gt;=R$9),"H",""))</x:f>
        <x:v>R</x:v>
      </x:c>
      <x:c r="S14" s="27" t="str">
        <x:f>IF(AND(ISNUMBER($F14),ISNUMBER($G14),$F14&lt;=S$9+6,$G14&gt;=S$9),IF('Actividades'!$M10&gt;0,"R","P"),IF(AND('Actividades'!$M10&gt;0,'Actividades'!$M10&lt;=S$9+6,'Actividades'!$N10&gt;=S$9),"H",""))</x:f>
      </x:c>
      <x:c r="T14" s="27" t="str">
        <x:f>IF(AND(ISNUMBER($F14),ISNUMBER($G14),$F14&lt;=T$9+6,$G14&gt;=T$9),IF('Actividades'!$M10&gt;0,"R","P"),IF(AND('Actividades'!$M10&gt;0,'Actividades'!$M10&lt;=T$9+6,'Actividades'!$N10&gt;=T$9),"H",""))</x:f>
      </x:c>
      <x:c r="U14" s="27" t="str">
        <x:f>IF(AND(ISNUMBER($F14),ISNUMBER($G14),$F14&lt;=U$9+6,$G14&gt;=U$9),IF('Actividades'!$M10&gt;0,"R","P"),IF(AND('Actividades'!$M10&gt;0,'Actividades'!$M10&lt;=U$9+6,'Actividades'!$N10&gt;=U$9),"H",""))</x:f>
      </x:c>
      <x:c r="V14" s="27" t="str">
        <x:f>IF(AND(ISNUMBER($F14),ISNUMBER($G14),$F14&lt;=V$9+6,$G14&gt;=V$9),IF('Actividades'!$M10&gt;0,"R","P"),IF(AND('Actividades'!$M10&gt;0,'Actividades'!$M10&lt;=V$9+6,'Actividades'!$N10&gt;=V$9),"H",""))</x:f>
      </x:c>
      <x:c r="W14" s="27" t="str">
        <x:f>IF(AND(ISNUMBER($F14),ISNUMBER($G14),$F14&lt;=W$9+6,$G14&gt;=W$9),IF('Actividades'!$M10&gt;0,"R","P"),IF(AND('Actividades'!$M10&gt;0,'Actividades'!$M10&lt;=W$9+6,'Actividades'!$N10&gt;=W$9),"H",""))</x:f>
      </x:c>
      <x:c r="X14" s="27" t="str">
        <x:f>IF(AND(ISNUMBER($F14),ISNUMBER($G14),$F14&lt;=X$9+6,$G14&gt;=X$9),IF('Actividades'!$M10&gt;0,"R","P"),IF(AND('Actividades'!$M10&gt;0,'Actividades'!$M10&lt;=X$9+6,'Actividades'!$N10&gt;=X$9),"H",""))</x:f>
      </x:c>
      <x:c r="Y14" s="27" t="str">
        <x:f>IF(AND(ISNUMBER($F14),ISNUMBER($G14),$F14&lt;=Y$9+6,$G14&gt;=Y$9),IF('Actividades'!$M10&gt;0,"R","P"),IF(AND('Actividades'!$M10&gt;0,'Actividades'!$M10&lt;=Y$9+6,'Actividades'!$N10&gt;=Y$9),"H",""))</x:f>
      </x:c>
      <x:c r="Z14" s="27" t="str">
        <x:f>IF(AND(ISNUMBER($F14),ISNUMBER($G14),$F14&lt;=Z$9+6,$G14&gt;=Z$9),IF('Actividades'!$M10&gt;0,"R","P"),IF(AND('Actividades'!$M10&gt;0,'Actividades'!$M10&lt;=Z$9+6,'Actividades'!$N10&gt;=Z$9),"H",""))</x:f>
      </x:c>
    </x:row>
    <x:row r="15" ht="42" customHeight="1">
      <x:c r="A15" s="10" t="str">
        <x:f>IF('Actividades'!B11="",'Actividades'!A11,'Actividades'!B11)</x:f>
        <x:v>SCRUM-17</x:v>
      </x:c>
      <x:c r="B15" s="10" t="str">
        <x:f>'Actividades'!C11</x:f>
        <x:v>Repositorio README y trazabilidad</x:v>
      </x:c>
      <x:c r="C15" s="10" t="str">
        <x:f>IF('Actividades'!E11="No aplica","Propuesta",'Actividades'!E11)</x:f>
        <x:v>En revisión</x:v>
      </x:c>
      <x:c r="D15" s="10" t="str">
        <x:f>'Actividades'!H11</x:f>
        <x:v>Documentado</x:v>
      </x:c>
      <x:c r="E15" s="10" t="n">
        <x:f>IF('Actividades'!F11="","",'Actividades'!F11)</x:f>
        <x:v>3</x:v>
      </x:c>
      <x:c r="F15" s="23" t="n">
        <x:f>IF('Actividades'!O11="","",'Actividades'!O11)</x:f>
        <x:v>46310</x:v>
      </x:c>
      <x:c r="G15" s="23" t="n">
        <x:f>IF('Actividades'!P11="","",'Actividades'!P11)</x:f>
        <x:v>46312</x:v>
      </x:c>
      <x:c r="H15" s="2"/>
      <x:c r="I15" s="27" t="str">
        <x:f>IF(AND(ISNUMBER($F15),ISNUMBER($G15),$F15&lt;=I$9+6,$G15&gt;=I$9),IF('Actividades'!$M11&gt;0,"R","P"),IF(AND('Actividades'!$M11&gt;0,'Actividades'!$M11&lt;=I$9+6,'Actividades'!$N11&gt;=I$9),"H",""))</x:f>
        <x:v>H</x:v>
      </x:c>
      <x:c r="J15" s="27" t="str">
        <x:f>IF(AND(ISNUMBER($F15),ISNUMBER($G15),$F15&lt;=J$9+6,$G15&gt;=J$9),IF('Actividades'!$M11&gt;0,"R","P"),IF(AND('Actividades'!$M11&gt;0,'Actividades'!$M11&lt;=J$9+6,'Actividades'!$N11&gt;=J$9),"H",""))</x:f>
        <x:v>H</x:v>
      </x:c>
      <x:c r="K15" s="27" t="str">
        <x:f>IF(AND(ISNUMBER($F15),ISNUMBER($G15),$F15&lt;=K$9+6,$G15&gt;=K$9),IF('Actividades'!$M11&gt;0,"R","P"),IF(AND('Actividades'!$M11&gt;0,'Actividades'!$M11&lt;=K$9+6,'Actividades'!$N11&gt;=K$9),"H",""))</x:f>
      </x:c>
      <x:c r="L15" s="27" t="str">
        <x:f>IF(AND(ISNUMBER($F15),ISNUMBER($G15),$F15&lt;=L$9+6,$G15&gt;=L$9),IF('Actividades'!$M11&gt;0,"R","P"),IF(AND('Actividades'!$M11&gt;0,'Actividades'!$M11&lt;=L$9+6,'Actividades'!$N11&gt;=L$9),"H",""))</x:f>
      </x:c>
      <x:c r="M15" s="27" t="str">
        <x:f>IF(AND(ISNUMBER($F15),ISNUMBER($G15),$F15&lt;=M$9+6,$G15&gt;=M$9),IF('Actividades'!$M11&gt;0,"R","P"),IF(AND('Actividades'!$M11&gt;0,'Actividades'!$M11&lt;=M$9+6,'Actividades'!$N11&gt;=M$9),"H",""))</x:f>
      </x:c>
      <x:c r="N15" s="27" t="str">
        <x:f>IF(AND(ISNUMBER($F15),ISNUMBER($G15),$F15&lt;=N$9+6,$G15&gt;=N$9),IF('Actividades'!$M11&gt;0,"R","P"),IF(AND('Actividades'!$M11&gt;0,'Actividades'!$M11&lt;=N$9+6,'Actividades'!$N11&gt;=N$9),"H",""))</x:f>
      </x:c>
      <x:c r="O15" s="27" t="str">
        <x:f>IF(AND(ISNUMBER($F15),ISNUMBER($G15),$F15&lt;=O$9+6,$G15&gt;=O$9),IF('Actividades'!$M11&gt;0,"R","P"),IF(AND('Actividades'!$M11&gt;0,'Actividades'!$M11&lt;=O$9+6,'Actividades'!$N11&gt;=O$9),"H",""))</x:f>
      </x:c>
      <x:c r="P15" s="27" t="str">
        <x:f>IF(AND(ISNUMBER($F15),ISNUMBER($G15),$F15&lt;=P$9+6,$G15&gt;=P$9),IF('Actividades'!$M11&gt;0,"R","P"),IF(AND('Actividades'!$M11&gt;0,'Actividades'!$M11&lt;=P$9+6,'Actividades'!$N11&gt;=P$9),"H",""))</x:f>
      </x:c>
      <x:c r="Q15" s="27" t="str">
        <x:f>IF(AND(ISNUMBER($F15),ISNUMBER($G15),$F15&lt;=Q$9+6,$G15&gt;=Q$9),IF('Actividades'!$M11&gt;0,"R","P"),IF(AND('Actividades'!$M11&gt;0,'Actividades'!$M11&lt;=Q$9+6,'Actividades'!$N11&gt;=Q$9),"H",""))</x:f>
      </x:c>
      <x:c r="R15" s="27" t="str">
        <x:f>IF(AND(ISNUMBER($F15),ISNUMBER($G15),$F15&lt;=R$9+6,$G15&gt;=R$9),IF('Actividades'!$M11&gt;0,"R","P"),IF(AND('Actividades'!$M11&gt;0,'Actividades'!$M11&lt;=R$9+6,'Actividades'!$N11&gt;=R$9),"H",""))</x:f>
        <x:v>R</x:v>
      </x:c>
      <x:c r="S15" s="27" t="str">
        <x:f>IF(AND(ISNUMBER($F15),ISNUMBER($G15),$F15&lt;=S$9+6,$G15&gt;=S$9),IF('Actividades'!$M11&gt;0,"R","P"),IF(AND('Actividades'!$M11&gt;0,'Actividades'!$M11&lt;=S$9+6,'Actividades'!$N11&gt;=S$9),"H",""))</x:f>
      </x:c>
      <x:c r="T15" s="27" t="str">
        <x:f>IF(AND(ISNUMBER($F15),ISNUMBER($G15),$F15&lt;=T$9+6,$G15&gt;=T$9),IF('Actividades'!$M11&gt;0,"R","P"),IF(AND('Actividades'!$M11&gt;0,'Actividades'!$M11&lt;=T$9+6,'Actividades'!$N11&gt;=T$9),"H",""))</x:f>
      </x:c>
      <x:c r="U15" s="27" t="str">
        <x:f>IF(AND(ISNUMBER($F15),ISNUMBER($G15),$F15&lt;=U$9+6,$G15&gt;=U$9),IF('Actividades'!$M11&gt;0,"R","P"),IF(AND('Actividades'!$M11&gt;0,'Actividades'!$M11&lt;=U$9+6,'Actividades'!$N11&gt;=U$9),"H",""))</x:f>
      </x:c>
      <x:c r="V15" s="27" t="str">
        <x:f>IF(AND(ISNUMBER($F15),ISNUMBER($G15),$F15&lt;=V$9+6,$G15&gt;=V$9),IF('Actividades'!$M11&gt;0,"R","P"),IF(AND('Actividades'!$M11&gt;0,'Actividades'!$M11&lt;=V$9+6,'Actividades'!$N11&gt;=V$9),"H",""))</x:f>
      </x:c>
      <x:c r="W15" s="27" t="str">
        <x:f>IF(AND(ISNUMBER($F15),ISNUMBER($G15),$F15&lt;=W$9+6,$G15&gt;=W$9),IF('Actividades'!$M11&gt;0,"R","P"),IF(AND('Actividades'!$M11&gt;0,'Actividades'!$M11&lt;=W$9+6,'Actividades'!$N11&gt;=W$9),"H",""))</x:f>
      </x:c>
      <x:c r="X15" s="27" t="str">
        <x:f>IF(AND(ISNUMBER($F15),ISNUMBER($G15),$F15&lt;=X$9+6,$G15&gt;=X$9),IF('Actividades'!$M11&gt;0,"R","P"),IF(AND('Actividades'!$M11&gt;0,'Actividades'!$M11&lt;=X$9+6,'Actividades'!$N11&gt;=X$9),"H",""))</x:f>
      </x:c>
      <x:c r="Y15" s="27" t="str">
        <x:f>IF(AND(ISNUMBER($F15),ISNUMBER($G15),$F15&lt;=Y$9+6,$G15&gt;=Y$9),IF('Actividades'!$M11&gt;0,"R","P"),IF(AND('Actividades'!$M11&gt;0,'Actividades'!$M11&lt;=Y$9+6,'Actividades'!$N11&gt;=Y$9),"H",""))</x:f>
      </x:c>
      <x:c r="Z15" s="27" t="str">
        <x:f>IF(AND(ISNUMBER($F15),ISNUMBER($G15),$F15&lt;=Z$9+6,$G15&gt;=Z$9),IF('Actividades'!$M11&gt;0,"R","P"),IF(AND('Actividades'!$M11&gt;0,'Actividades'!$M11&lt;=Z$9+6,'Actividades'!$N11&gt;=Z$9),"H",""))</x:f>
      </x:c>
    </x:row>
    <x:row r="16">
      <x:c r="A16" s="2"/>
      <x:c r="B16" s="2"/>
      <x:c r="C16" s="2"/>
      <x:c r="D16" s="2"/>
      <x:c r="E16" s="2"/>
      <x:c r="F16" s="25"/>
      <x:c r="G16" s="25"/>
      <x:c r="H16" s="2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24" customHeight="1">
      <x:c r="A17" s="7" t="str">
        <x:v>Sprint 1</x:v>
      </x:c>
      <x:c r="B17" s="7"/>
      <x:c r="C17" s="7"/>
      <x:c r="D17" s="7"/>
      <x:c r="E17" s="7" t="n">
        <x:f>SUMIFS('Actividades'!$F$7:$F$51,'Actividades'!$G$7:$G$51,A17)</x:f>
        <x:v>67</x:v>
      </x:c>
      <x:c r="F17" s="22"/>
      <x:c r="G17" s="22"/>
      <x:c r="H17" s="7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42" customHeight="1">
      <x:c r="A18" s="21" t="str">
        <x:f>IF('Actividades'!B12="",'Actividades'!A12,'Actividades'!B12)</x:f>
        <x:v>SCRUM-18</x:v>
      </x:c>
      <x:c r="B18" s="21" t="str">
        <x:f>'Actividades'!C12</x:f>
        <x:v>Arquitectura y decisiones técnicas</x:v>
      </x:c>
      <x:c r="C18" s="21" t="str">
        <x:f>IF('Actividades'!E12="No aplica","Propuesta",'Actividades'!E12)</x:f>
        <x:v>Terminada</x:v>
      </x:c>
      <x:c r="D18" s="21" t="str">
        <x:f>'Actividades'!H12</x:f>
        <x:v>Documentado</x:v>
      </x:c>
      <x:c r="E18" s="21" t="n">
        <x:f>IF('Actividades'!F12="","",'Actividades'!F12)</x:f>
        <x:v>5</x:v>
      </x:c>
      <x:c r="F18" s="24" t="str">
        <x:f>IF('Actividades'!O12="","",'Actividades'!O12)</x:f>
      </x:c>
      <x:c r="G18" s="24" t="str">
        <x:f>IF('Actividades'!P12="","",'Actividades'!P12)</x:f>
      </x:c>
      <x:c r="H18" s="2"/>
      <x:c r="I18" s="27" t="str">
        <x:f>IF(AND(ISNUMBER($F18),ISNUMBER($G18),$F18&lt;=I$9+6,$G18&gt;=I$9),IF('Actividades'!$M12&gt;0,"R","P"),IF(AND('Actividades'!$M12&gt;0,'Actividades'!$M12&lt;=I$9+6,'Actividades'!$N12&gt;=I$9),"H",""))</x:f>
      </x:c>
      <x:c r="J18" s="27" t="str">
        <x:f>IF(AND(ISNUMBER($F18),ISNUMBER($G18),$F18&lt;=J$9+6,$G18&gt;=J$9),IF('Actividades'!$M12&gt;0,"R","P"),IF(AND('Actividades'!$M12&gt;0,'Actividades'!$M12&lt;=J$9+6,'Actividades'!$N12&gt;=J$9),"H",""))</x:f>
      </x:c>
      <x:c r="K18" s="27" t="str">
        <x:f>IF(AND(ISNUMBER($F18),ISNUMBER($G18),$F18&lt;=K$9+6,$G18&gt;=K$9),IF('Actividades'!$M12&gt;0,"R","P"),IF(AND('Actividades'!$M12&gt;0,'Actividades'!$M12&lt;=K$9+6,'Actividades'!$N12&gt;=K$9),"H",""))</x:f>
        <x:v>H</x:v>
      </x:c>
      <x:c r="L18" s="27" t="str">
        <x:f>IF(AND(ISNUMBER($F18),ISNUMBER($G18),$F18&lt;=L$9+6,$G18&gt;=L$9),IF('Actividades'!$M12&gt;0,"R","P"),IF(AND('Actividades'!$M12&gt;0,'Actividades'!$M12&lt;=L$9+6,'Actividades'!$N12&gt;=L$9),"H",""))</x:f>
        <x:v>H</x:v>
      </x:c>
      <x:c r="M18" s="27" t="str">
        <x:f>IF(AND(ISNUMBER($F18),ISNUMBER($G18),$F18&lt;=M$9+6,$G18&gt;=M$9),IF('Actividades'!$M12&gt;0,"R","P"),IF(AND('Actividades'!$M12&gt;0,'Actividades'!$M12&lt;=M$9+6,'Actividades'!$N12&gt;=M$9),"H",""))</x:f>
      </x:c>
      <x:c r="N18" s="27" t="str">
        <x:f>IF(AND(ISNUMBER($F18),ISNUMBER($G18),$F18&lt;=N$9+6,$G18&gt;=N$9),IF('Actividades'!$M12&gt;0,"R","P"),IF(AND('Actividades'!$M12&gt;0,'Actividades'!$M12&lt;=N$9+6,'Actividades'!$N12&gt;=N$9),"H",""))</x:f>
      </x:c>
      <x:c r="O18" s="27" t="str">
        <x:f>IF(AND(ISNUMBER($F18),ISNUMBER($G18),$F18&lt;=O$9+6,$G18&gt;=O$9),IF('Actividades'!$M12&gt;0,"R","P"),IF(AND('Actividades'!$M12&gt;0,'Actividades'!$M12&lt;=O$9+6,'Actividades'!$N12&gt;=O$9),"H",""))</x:f>
      </x:c>
      <x:c r="P18" s="27" t="str">
        <x:f>IF(AND(ISNUMBER($F18),ISNUMBER($G18),$F18&lt;=P$9+6,$G18&gt;=P$9),IF('Actividades'!$M12&gt;0,"R","P"),IF(AND('Actividades'!$M12&gt;0,'Actividades'!$M12&lt;=P$9+6,'Actividades'!$N12&gt;=P$9),"H",""))</x:f>
      </x:c>
      <x:c r="Q18" s="27" t="str">
        <x:f>IF(AND(ISNUMBER($F18),ISNUMBER($G18),$F18&lt;=Q$9+6,$G18&gt;=Q$9),IF('Actividades'!$M12&gt;0,"R","P"),IF(AND('Actividades'!$M12&gt;0,'Actividades'!$M12&lt;=Q$9+6,'Actividades'!$N12&gt;=Q$9),"H",""))</x:f>
      </x:c>
      <x:c r="R18" s="27" t="str">
        <x:f>IF(AND(ISNUMBER($F18),ISNUMBER($G18),$F18&lt;=R$9+6,$G18&gt;=R$9),IF('Actividades'!$M12&gt;0,"R","P"),IF(AND('Actividades'!$M12&gt;0,'Actividades'!$M12&lt;=R$9+6,'Actividades'!$N12&gt;=R$9),"H",""))</x:f>
      </x:c>
      <x:c r="S18" s="27" t="str">
        <x:f>IF(AND(ISNUMBER($F18),ISNUMBER($G18),$F18&lt;=S$9+6,$G18&gt;=S$9),IF('Actividades'!$M12&gt;0,"R","P"),IF(AND('Actividades'!$M12&gt;0,'Actividades'!$M12&lt;=S$9+6,'Actividades'!$N12&gt;=S$9),"H",""))</x:f>
      </x:c>
      <x:c r="T18" s="27" t="str">
        <x:f>IF(AND(ISNUMBER($F18),ISNUMBER($G18),$F18&lt;=T$9+6,$G18&gt;=T$9),IF('Actividades'!$M12&gt;0,"R","P"),IF(AND('Actividades'!$M12&gt;0,'Actividades'!$M12&lt;=T$9+6,'Actividades'!$N12&gt;=T$9),"H",""))</x:f>
      </x:c>
      <x:c r="U18" s="27" t="str">
        <x:f>IF(AND(ISNUMBER($F18),ISNUMBER($G18),$F18&lt;=U$9+6,$G18&gt;=U$9),IF('Actividades'!$M12&gt;0,"R","P"),IF(AND('Actividades'!$M12&gt;0,'Actividades'!$M12&lt;=U$9+6,'Actividades'!$N12&gt;=U$9),"H",""))</x:f>
      </x:c>
      <x:c r="V18" s="27" t="str">
        <x:f>IF(AND(ISNUMBER($F18),ISNUMBER($G18),$F18&lt;=V$9+6,$G18&gt;=V$9),IF('Actividades'!$M12&gt;0,"R","P"),IF(AND('Actividades'!$M12&gt;0,'Actividades'!$M12&lt;=V$9+6,'Actividades'!$N12&gt;=V$9),"H",""))</x:f>
      </x:c>
      <x:c r="W18" s="27" t="str">
        <x:f>IF(AND(ISNUMBER($F18),ISNUMBER($G18),$F18&lt;=W$9+6,$G18&gt;=W$9),IF('Actividades'!$M12&gt;0,"R","P"),IF(AND('Actividades'!$M12&gt;0,'Actividades'!$M12&lt;=W$9+6,'Actividades'!$N12&gt;=W$9),"H",""))</x:f>
      </x:c>
      <x:c r="X18" s="27" t="str">
        <x:f>IF(AND(ISNUMBER($F18),ISNUMBER($G18),$F18&lt;=X$9+6,$G18&gt;=X$9),IF('Actividades'!$M12&gt;0,"R","P"),IF(AND('Actividades'!$M12&gt;0,'Actividades'!$M12&lt;=X$9+6,'Actividades'!$N12&gt;=X$9),"H",""))</x:f>
      </x:c>
      <x:c r="Y18" s="27" t="str">
        <x:f>IF(AND(ISNUMBER($F18),ISNUMBER($G18),$F18&lt;=Y$9+6,$G18&gt;=Y$9),IF('Actividades'!$M12&gt;0,"R","P"),IF(AND('Actividades'!$M12&gt;0,'Actividades'!$M12&lt;=Y$9+6,'Actividades'!$N12&gt;=Y$9),"H",""))</x:f>
      </x:c>
      <x:c r="Z18" s="27" t="str">
        <x:f>IF(AND(ISNUMBER($F18),ISNUMBER($G18),$F18&lt;=Z$9+6,$G18&gt;=Z$9),IF('Actividades'!$M12&gt;0,"R","P"),IF(AND('Actividades'!$M12&gt;0,'Actividades'!$M12&lt;=Z$9+6,'Actividades'!$N12&gt;=Z$9),"H",""))</x:f>
      </x:c>
    </x:row>
    <x:row r="19" ht="42" customHeight="1">
      <x:c r="A19" s="10" t="str">
        <x:f>IF('Actividades'!B13="",'Actividades'!A13,'Actividades'!B13)</x:f>
        <x:v>SCRUM-19</x:v>
      </x:c>
      <x:c r="B19" s="10" t="str">
        <x:f>'Actividades'!C13</x:f>
        <x:v>Modelo ER y diccionario de datos</x:v>
      </x:c>
      <x:c r="C19" s="10" t="str">
        <x:f>IF('Actividades'!E13="No aplica","Propuesta",'Actividades'!E13)</x:f>
        <x:v>En revisión</x:v>
      </x:c>
      <x:c r="D19" s="10" t="str">
        <x:f>'Actividades'!H13</x:f>
        <x:v>Documentado</x:v>
      </x:c>
      <x:c r="E19" s="10" t="n">
        <x:f>IF('Actividades'!F13="","",'Actividades'!F13)</x:f>
        <x:v>5</x:v>
      </x:c>
      <x:c r="F19" s="23" t="n">
        <x:f>IF('Actividades'!O13="","",'Actividades'!O13)</x:f>
        <x:v>46310</x:v>
      </x:c>
      <x:c r="G19" s="23" t="n">
        <x:f>IF('Actividades'!P13="","",'Actividades'!P13)</x:f>
        <x:v>46312</x:v>
      </x:c>
      <x:c r="H19" s="2"/>
      <x:c r="I19" s="27" t="str">
        <x:f>IF(AND(ISNUMBER($F19),ISNUMBER($G19),$F19&lt;=I$9+6,$G19&gt;=I$9),IF('Actividades'!$M13&gt;0,"R","P"),IF(AND('Actividades'!$M13&gt;0,'Actividades'!$M13&lt;=I$9+6,'Actividades'!$N13&gt;=I$9),"H",""))</x:f>
      </x:c>
      <x:c r="J19" s="27" t="str">
        <x:f>IF(AND(ISNUMBER($F19),ISNUMBER($G19),$F19&lt;=J$9+6,$G19&gt;=J$9),IF('Actividades'!$M13&gt;0,"R","P"),IF(AND('Actividades'!$M13&gt;0,'Actividades'!$M13&lt;=J$9+6,'Actividades'!$N13&gt;=J$9),"H",""))</x:f>
      </x:c>
      <x:c r="K19" s="27" t="str">
        <x:f>IF(AND(ISNUMBER($F19),ISNUMBER($G19),$F19&lt;=K$9+6,$G19&gt;=K$9),IF('Actividades'!$M13&gt;0,"R","P"),IF(AND('Actividades'!$M13&gt;0,'Actividades'!$M13&lt;=K$9+6,'Actividades'!$N13&gt;=K$9),"H",""))</x:f>
        <x:v>H</x:v>
      </x:c>
      <x:c r="L19" s="27" t="str">
        <x:f>IF(AND(ISNUMBER($F19),ISNUMBER($G19),$F19&lt;=L$9+6,$G19&gt;=L$9),IF('Actividades'!$M13&gt;0,"R","P"),IF(AND('Actividades'!$M13&gt;0,'Actividades'!$M13&lt;=L$9+6,'Actividades'!$N13&gt;=L$9),"H",""))</x:f>
        <x:v>H</x:v>
      </x:c>
      <x:c r="M19" s="27" t="str">
        <x:f>IF(AND(ISNUMBER($F19),ISNUMBER($G19),$F19&lt;=M$9+6,$G19&gt;=M$9),IF('Actividades'!$M13&gt;0,"R","P"),IF(AND('Actividades'!$M13&gt;0,'Actividades'!$M13&lt;=M$9+6,'Actividades'!$N13&gt;=M$9),"H",""))</x:f>
      </x:c>
      <x:c r="N19" s="27" t="str">
        <x:f>IF(AND(ISNUMBER($F19),ISNUMBER($G19),$F19&lt;=N$9+6,$G19&gt;=N$9),IF('Actividades'!$M13&gt;0,"R","P"),IF(AND('Actividades'!$M13&gt;0,'Actividades'!$M13&lt;=N$9+6,'Actividades'!$N13&gt;=N$9),"H",""))</x:f>
      </x:c>
      <x:c r="O19" s="27" t="str">
        <x:f>IF(AND(ISNUMBER($F19),ISNUMBER($G19),$F19&lt;=O$9+6,$G19&gt;=O$9),IF('Actividades'!$M13&gt;0,"R","P"),IF(AND('Actividades'!$M13&gt;0,'Actividades'!$M13&lt;=O$9+6,'Actividades'!$N13&gt;=O$9),"H",""))</x:f>
      </x:c>
      <x:c r="P19" s="27" t="str">
        <x:f>IF(AND(ISNUMBER($F19),ISNUMBER($G19),$F19&lt;=P$9+6,$G19&gt;=P$9),IF('Actividades'!$M13&gt;0,"R","P"),IF(AND('Actividades'!$M13&gt;0,'Actividades'!$M13&lt;=P$9+6,'Actividades'!$N13&gt;=P$9),"H",""))</x:f>
      </x:c>
      <x:c r="Q19" s="27" t="str">
        <x:f>IF(AND(ISNUMBER($F19),ISNUMBER($G19),$F19&lt;=Q$9+6,$G19&gt;=Q$9),IF('Actividades'!$M13&gt;0,"R","P"),IF(AND('Actividades'!$M13&gt;0,'Actividades'!$M13&lt;=Q$9+6,'Actividades'!$N13&gt;=Q$9),"H",""))</x:f>
      </x:c>
      <x:c r="R19" s="27" t="str">
        <x:f>IF(AND(ISNUMBER($F19),ISNUMBER($G19),$F19&lt;=R$9+6,$G19&gt;=R$9),IF('Actividades'!$M13&gt;0,"R","P"),IF(AND('Actividades'!$M13&gt;0,'Actividades'!$M13&lt;=R$9+6,'Actividades'!$N13&gt;=R$9),"H",""))</x:f>
        <x:v>R</x:v>
      </x:c>
      <x:c r="S19" s="27" t="str">
        <x:f>IF(AND(ISNUMBER($F19),ISNUMBER($G19),$F19&lt;=S$9+6,$G19&gt;=S$9),IF('Actividades'!$M13&gt;0,"R","P"),IF(AND('Actividades'!$M13&gt;0,'Actividades'!$M13&lt;=S$9+6,'Actividades'!$N13&gt;=S$9),"H",""))</x:f>
      </x:c>
      <x:c r="T19" s="27" t="str">
        <x:f>IF(AND(ISNUMBER($F19),ISNUMBER($G19),$F19&lt;=T$9+6,$G19&gt;=T$9),IF('Actividades'!$M13&gt;0,"R","P"),IF(AND('Actividades'!$M13&gt;0,'Actividades'!$M13&lt;=T$9+6,'Actividades'!$N13&gt;=T$9),"H",""))</x:f>
      </x:c>
      <x:c r="U19" s="27" t="str">
        <x:f>IF(AND(ISNUMBER($F19),ISNUMBER($G19),$F19&lt;=U$9+6,$G19&gt;=U$9),IF('Actividades'!$M13&gt;0,"R","P"),IF(AND('Actividades'!$M13&gt;0,'Actividades'!$M13&lt;=U$9+6,'Actividades'!$N13&gt;=U$9),"H",""))</x:f>
      </x:c>
      <x:c r="V19" s="27" t="str">
        <x:f>IF(AND(ISNUMBER($F19),ISNUMBER($G19),$F19&lt;=V$9+6,$G19&gt;=V$9),IF('Actividades'!$M13&gt;0,"R","P"),IF(AND('Actividades'!$M13&gt;0,'Actividades'!$M13&lt;=V$9+6,'Actividades'!$N13&gt;=V$9),"H",""))</x:f>
      </x:c>
      <x:c r="W19" s="27" t="str">
        <x:f>IF(AND(ISNUMBER($F19),ISNUMBER($G19),$F19&lt;=W$9+6,$G19&gt;=W$9),IF('Actividades'!$M13&gt;0,"R","P"),IF(AND('Actividades'!$M13&gt;0,'Actividades'!$M13&lt;=W$9+6,'Actividades'!$N13&gt;=W$9),"H",""))</x:f>
      </x:c>
      <x:c r="X19" s="27" t="str">
        <x:f>IF(AND(ISNUMBER($F19),ISNUMBER($G19),$F19&lt;=X$9+6,$G19&gt;=X$9),IF('Actividades'!$M13&gt;0,"R","P"),IF(AND('Actividades'!$M13&gt;0,'Actividades'!$M13&lt;=X$9+6,'Actividades'!$N13&gt;=X$9),"H",""))</x:f>
      </x:c>
      <x:c r="Y19" s="27" t="str">
        <x:f>IF(AND(ISNUMBER($F19),ISNUMBER($G19),$F19&lt;=Y$9+6,$G19&gt;=Y$9),IF('Actividades'!$M13&gt;0,"R","P"),IF(AND('Actividades'!$M13&gt;0,'Actividades'!$M13&lt;=Y$9+6,'Actividades'!$N13&gt;=Y$9),"H",""))</x:f>
      </x:c>
      <x:c r="Z19" s="27" t="str">
        <x:f>IF(AND(ISNUMBER($F19),ISNUMBER($G19),$F19&lt;=Z$9+6,$G19&gt;=Z$9),IF('Actividades'!$M13&gt;0,"R","P"),IF(AND('Actividades'!$M13&gt;0,'Actividades'!$M13&lt;=Z$9+6,'Actividades'!$N13&gt;=Z$9),"H",""))</x:f>
      </x:c>
    </x:row>
    <x:row r="20" ht="42" customHeight="1">
      <x:c r="A20" s="21" t="str">
        <x:f>IF('Actividades'!B14="",'Actividades'!A14,'Actividades'!B14)</x:f>
        <x:v>SCRUM-20</x:v>
      </x:c>
      <x:c r="B20" s="21" t="str">
        <x:f>'Actividades'!C14</x:f>
        <x:v>Prototipo navegable validado</x:v>
      </x:c>
      <x:c r="C20" s="21" t="str">
        <x:f>IF('Actividades'!E14="No aplica","Propuesta",'Actividades'!E14)</x:f>
        <x:v>En revisión</x:v>
      </x:c>
      <x:c r="D20" s="21" t="str">
        <x:f>'Actividades'!H14</x:f>
        <x:v>Documentado</x:v>
      </x:c>
      <x:c r="E20" s="21" t="n">
        <x:f>IF('Actividades'!F14="","",'Actividades'!F14)</x:f>
        <x:v>5</x:v>
      </x:c>
      <x:c r="F20" s="24" t="n">
        <x:f>IF('Actividades'!O14="","",'Actividades'!O14)</x:f>
        <x:v>46310</x:v>
      </x:c>
      <x:c r="G20" s="24" t="n">
        <x:f>IF('Actividades'!P14="","",'Actividades'!P14)</x:f>
        <x:v>46312</x:v>
      </x:c>
      <x:c r="H20" s="2"/>
      <x:c r="I20" s="27" t="str">
        <x:f>IF(AND(ISNUMBER($F20),ISNUMBER($G20),$F20&lt;=I$9+6,$G20&gt;=I$9),IF('Actividades'!$M14&gt;0,"R","P"),IF(AND('Actividades'!$M14&gt;0,'Actividades'!$M14&lt;=I$9+6,'Actividades'!$N14&gt;=I$9),"H",""))</x:f>
      </x:c>
      <x:c r="J20" s="27" t="str">
        <x:f>IF(AND(ISNUMBER($F20),ISNUMBER($G20),$F20&lt;=J$9+6,$G20&gt;=J$9),IF('Actividades'!$M14&gt;0,"R","P"),IF(AND('Actividades'!$M14&gt;0,'Actividades'!$M14&lt;=J$9+6,'Actividades'!$N14&gt;=J$9),"H",""))</x:f>
      </x:c>
      <x:c r="K20" s="27" t="str">
        <x:f>IF(AND(ISNUMBER($F20),ISNUMBER($G20),$F20&lt;=K$9+6,$G20&gt;=K$9),IF('Actividades'!$M14&gt;0,"R","P"),IF(AND('Actividades'!$M14&gt;0,'Actividades'!$M14&lt;=K$9+6,'Actividades'!$N14&gt;=K$9),"H",""))</x:f>
        <x:v>H</x:v>
      </x:c>
      <x:c r="L20" s="27" t="str">
        <x:f>IF(AND(ISNUMBER($F20),ISNUMBER($G20),$F20&lt;=L$9+6,$G20&gt;=L$9),IF('Actividades'!$M14&gt;0,"R","P"),IF(AND('Actividades'!$M14&gt;0,'Actividades'!$M14&lt;=L$9+6,'Actividades'!$N14&gt;=L$9),"H",""))</x:f>
        <x:v>H</x:v>
      </x:c>
      <x:c r="M20" s="27" t="str">
        <x:f>IF(AND(ISNUMBER($F20),ISNUMBER($G20),$F20&lt;=M$9+6,$G20&gt;=M$9),IF('Actividades'!$M14&gt;0,"R","P"),IF(AND('Actividades'!$M14&gt;0,'Actividades'!$M14&lt;=M$9+6,'Actividades'!$N14&gt;=M$9),"H",""))</x:f>
      </x:c>
      <x:c r="N20" s="27" t="str">
        <x:f>IF(AND(ISNUMBER($F20),ISNUMBER($G20),$F20&lt;=N$9+6,$G20&gt;=N$9),IF('Actividades'!$M14&gt;0,"R","P"),IF(AND('Actividades'!$M14&gt;0,'Actividades'!$M14&lt;=N$9+6,'Actividades'!$N14&gt;=N$9),"H",""))</x:f>
      </x:c>
      <x:c r="O20" s="27" t="str">
        <x:f>IF(AND(ISNUMBER($F20),ISNUMBER($G20),$F20&lt;=O$9+6,$G20&gt;=O$9),IF('Actividades'!$M14&gt;0,"R","P"),IF(AND('Actividades'!$M14&gt;0,'Actividades'!$M14&lt;=O$9+6,'Actividades'!$N14&gt;=O$9),"H",""))</x:f>
      </x:c>
      <x:c r="P20" s="27" t="str">
        <x:f>IF(AND(ISNUMBER($F20),ISNUMBER($G20),$F20&lt;=P$9+6,$G20&gt;=P$9),IF('Actividades'!$M14&gt;0,"R","P"),IF(AND('Actividades'!$M14&gt;0,'Actividades'!$M14&lt;=P$9+6,'Actividades'!$N14&gt;=P$9),"H",""))</x:f>
      </x:c>
      <x:c r="Q20" s="27" t="str">
        <x:f>IF(AND(ISNUMBER($F20),ISNUMBER($G20),$F20&lt;=Q$9+6,$G20&gt;=Q$9),IF('Actividades'!$M14&gt;0,"R","P"),IF(AND('Actividades'!$M14&gt;0,'Actividades'!$M14&lt;=Q$9+6,'Actividades'!$N14&gt;=Q$9),"H",""))</x:f>
      </x:c>
      <x:c r="R20" s="27" t="str">
        <x:f>IF(AND(ISNUMBER($F20),ISNUMBER($G20),$F20&lt;=R$9+6,$G20&gt;=R$9),IF('Actividades'!$M14&gt;0,"R","P"),IF(AND('Actividades'!$M14&gt;0,'Actividades'!$M14&lt;=R$9+6,'Actividades'!$N14&gt;=R$9),"H",""))</x:f>
        <x:v>R</x:v>
      </x:c>
      <x:c r="S20" s="27" t="str">
        <x:f>IF(AND(ISNUMBER($F20),ISNUMBER($G20),$F20&lt;=S$9+6,$G20&gt;=S$9),IF('Actividades'!$M14&gt;0,"R","P"),IF(AND('Actividades'!$M14&gt;0,'Actividades'!$M14&lt;=S$9+6,'Actividades'!$N14&gt;=S$9),"H",""))</x:f>
      </x:c>
      <x:c r="T20" s="27" t="str">
        <x:f>IF(AND(ISNUMBER($F20),ISNUMBER($G20),$F20&lt;=T$9+6,$G20&gt;=T$9),IF('Actividades'!$M14&gt;0,"R","P"),IF(AND('Actividades'!$M14&gt;0,'Actividades'!$M14&lt;=T$9+6,'Actividades'!$N14&gt;=T$9),"H",""))</x:f>
      </x:c>
      <x:c r="U20" s="27" t="str">
        <x:f>IF(AND(ISNUMBER($F20),ISNUMBER($G20),$F20&lt;=U$9+6,$G20&gt;=U$9),IF('Actividades'!$M14&gt;0,"R","P"),IF(AND('Actividades'!$M14&gt;0,'Actividades'!$M14&lt;=U$9+6,'Actividades'!$N14&gt;=U$9),"H",""))</x:f>
      </x:c>
      <x:c r="V20" s="27" t="str">
        <x:f>IF(AND(ISNUMBER($F20),ISNUMBER($G20),$F20&lt;=V$9+6,$G20&gt;=V$9),IF('Actividades'!$M14&gt;0,"R","P"),IF(AND('Actividades'!$M14&gt;0,'Actividades'!$M14&lt;=V$9+6,'Actividades'!$N14&gt;=V$9),"H",""))</x:f>
      </x:c>
      <x:c r="W20" s="27" t="str">
        <x:f>IF(AND(ISNUMBER($F20),ISNUMBER($G20),$F20&lt;=W$9+6,$G20&gt;=W$9),IF('Actividades'!$M14&gt;0,"R","P"),IF(AND('Actividades'!$M14&gt;0,'Actividades'!$M14&lt;=W$9+6,'Actividades'!$N14&gt;=W$9),"H",""))</x:f>
      </x:c>
      <x:c r="X20" s="27" t="str">
        <x:f>IF(AND(ISNUMBER($F20),ISNUMBER($G20),$F20&lt;=X$9+6,$G20&gt;=X$9),IF('Actividades'!$M14&gt;0,"R","P"),IF(AND('Actividades'!$M14&gt;0,'Actividades'!$M14&lt;=X$9+6,'Actividades'!$N14&gt;=X$9),"H",""))</x:f>
      </x:c>
      <x:c r="Y20" s="27" t="str">
        <x:f>IF(AND(ISNUMBER($F20),ISNUMBER($G20),$F20&lt;=Y$9+6,$G20&gt;=Y$9),IF('Actividades'!$M14&gt;0,"R","P"),IF(AND('Actividades'!$M14&gt;0,'Actividades'!$M14&lt;=Y$9+6,'Actividades'!$N14&gt;=Y$9),"H",""))</x:f>
      </x:c>
      <x:c r="Z20" s="27" t="str">
        <x:f>IF(AND(ISNUMBER($F20),ISNUMBER($G20),$F20&lt;=Z$9+6,$G20&gt;=Z$9),IF('Actividades'!$M14&gt;0,"R","P"),IF(AND('Actividades'!$M14&gt;0,'Actividades'!$M14&lt;=Z$9+6,'Actividades'!$N14&gt;=Z$9),"H",""))</x:f>
      </x:c>
    </x:row>
    <x:row r="21" ht="42" customHeight="1">
      <x:c r="A21" s="10" t="str">
        <x:f>IF('Actividades'!B15="",'Actividades'!A15,'Actividades'!B15)</x:f>
        <x:v>SCRUM-21</x:v>
      </x:c>
      <x:c r="B21" s="10" t="str">
        <x:f>'Actividades'!C15</x:f>
        <x:v>UML de flujos principales</x:v>
      </x:c>
      <x:c r="C21" s="10" t="str">
        <x:f>IF('Actividades'!E15="No aplica","Propuesta",'Actividades'!E15)</x:f>
        <x:v>En curso</x:v>
      </x:c>
      <x:c r="D21" s="10" t="str">
        <x:f>'Actividades'!H15</x:f>
        <x:v>Parcial</x:v>
      </x:c>
      <x:c r="E21" s="10" t="n">
        <x:f>IF('Actividades'!F15="","",'Actividades'!F15)</x:f>
        <x:v>5</x:v>
      </x:c>
      <x:c r="F21" s="23" t="n">
        <x:f>IF('Actividades'!O15="","",'Actividades'!O15)</x:f>
        <x:v>46314</x:v>
      </x:c>
      <x:c r="G21" s="23" t="n">
        <x:f>IF('Actividades'!P15="","",'Actividades'!P15)</x:f>
        <x:v>46319</x:v>
      </x:c>
      <x:c r="H21" s="2"/>
      <x:c r="I21" s="27" t="str">
        <x:f>IF(AND(ISNUMBER($F21),ISNUMBER($G21),$F21&lt;=I$9+6,$G21&gt;=I$9),IF('Actividades'!$M15&gt;0,"R","P"),IF(AND('Actividades'!$M15&gt;0,'Actividades'!$M15&lt;=I$9+6,'Actividades'!$N15&gt;=I$9),"H",""))</x:f>
      </x:c>
      <x:c r="J21" s="27" t="str">
        <x:f>IF(AND(ISNUMBER($F21),ISNUMBER($G21),$F21&lt;=J$9+6,$G21&gt;=J$9),IF('Actividades'!$M15&gt;0,"R","P"),IF(AND('Actividades'!$M15&gt;0,'Actividades'!$M15&lt;=J$9+6,'Actividades'!$N15&gt;=J$9),"H",""))</x:f>
      </x:c>
      <x:c r="K21" s="27" t="str">
        <x:f>IF(AND(ISNUMBER($F21),ISNUMBER($G21),$F21&lt;=K$9+6,$G21&gt;=K$9),IF('Actividades'!$M15&gt;0,"R","P"),IF(AND('Actividades'!$M15&gt;0,'Actividades'!$M15&lt;=K$9+6,'Actividades'!$N15&gt;=K$9),"H",""))</x:f>
        <x:v>H</x:v>
      </x:c>
      <x:c r="L21" s="27" t="str">
        <x:f>IF(AND(ISNUMBER($F21),ISNUMBER($G21),$F21&lt;=L$9+6,$G21&gt;=L$9),IF('Actividades'!$M15&gt;0,"R","P"),IF(AND('Actividades'!$M15&gt;0,'Actividades'!$M15&lt;=L$9+6,'Actividades'!$N15&gt;=L$9),"H",""))</x:f>
        <x:v>H</x:v>
      </x:c>
      <x:c r="M21" s="27" t="str">
        <x:f>IF(AND(ISNUMBER($F21),ISNUMBER($G21),$F21&lt;=M$9+6,$G21&gt;=M$9),IF('Actividades'!$M15&gt;0,"R","P"),IF(AND('Actividades'!$M15&gt;0,'Actividades'!$M15&lt;=M$9+6,'Actividades'!$N15&gt;=M$9),"H",""))</x:f>
      </x:c>
      <x:c r="N21" s="27" t="str">
        <x:f>IF(AND(ISNUMBER($F21),ISNUMBER($G21),$F21&lt;=N$9+6,$G21&gt;=N$9),IF('Actividades'!$M15&gt;0,"R","P"),IF(AND('Actividades'!$M15&gt;0,'Actividades'!$M15&lt;=N$9+6,'Actividades'!$N15&gt;=N$9),"H",""))</x:f>
      </x:c>
      <x:c r="O21" s="27" t="str">
        <x:f>IF(AND(ISNUMBER($F21),ISNUMBER($G21),$F21&lt;=O$9+6,$G21&gt;=O$9),IF('Actividades'!$M15&gt;0,"R","P"),IF(AND('Actividades'!$M15&gt;0,'Actividades'!$M15&lt;=O$9+6,'Actividades'!$N15&gt;=O$9),"H",""))</x:f>
      </x:c>
      <x:c r="P21" s="27" t="str">
        <x:f>IF(AND(ISNUMBER($F21),ISNUMBER($G21),$F21&lt;=P$9+6,$G21&gt;=P$9),IF('Actividades'!$M15&gt;0,"R","P"),IF(AND('Actividades'!$M15&gt;0,'Actividades'!$M15&lt;=P$9+6,'Actividades'!$N15&gt;=P$9),"H",""))</x:f>
      </x:c>
      <x:c r="Q21" s="27" t="str">
        <x:f>IF(AND(ISNUMBER($F21),ISNUMBER($G21),$F21&lt;=Q$9+6,$G21&gt;=Q$9),IF('Actividades'!$M15&gt;0,"R","P"),IF(AND('Actividades'!$M15&gt;0,'Actividades'!$M15&lt;=Q$9+6,'Actividades'!$N15&gt;=Q$9),"H",""))</x:f>
      </x:c>
      <x:c r="R21" s="27" t="str">
        <x:f>IF(AND(ISNUMBER($F21),ISNUMBER($G21),$F21&lt;=R$9+6,$G21&gt;=R$9),IF('Actividades'!$M15&gt;0,"R","P"),IF(AND('Actividades'!$M15&gt;0,'Actividades'!$M15&lt;=R$9+6,'Actividades'!$N15&gt;=R$9),"H",""))</x:f>
      </x:c>
      <x:c r="S21" s="27" t="str">
        <x:f>IF(AND(ISNUMBER($F21),ISNUMBER($G21),$F21&lt;=S$9+6,$G21&gt;=S$9),IF('Actividades'!$M15&gt;0,"R","P"),IF(AND('Actividades'!$M15&gt;0,'Actividades'!$M15&lt;=S$9+6,'Actividades'!$N15&gt;=S$9),"H",""))</x:f>
        <x:v>R</x:v>
      </x:c>
      <x:c r="T21" s="27" t="str">
        <x:f>IF(AND(ISNUMBER($F21),ISNUMBER($G21),$F21&lt;=T$9+6,$G21&gt;=T$9),IF('Actividades'!$M15&gt;0,"R","P"),IF(AND('Actividades'!$M15&gt;0,'Actividades'!$M15&lt;=T$9+6,'Actividades'!$N15&gt;=T$9),"H",""))</x:f>
      </x:c>
      <x:c r="U21" s="27" t="str">
        <x:f>IF(AND(ISNUMBER($F21),ISNUMBER($G21),$F21&lt;=U$9+6,$G21&gt;=U$9),IF('Actividades'!$M15&gt;0,"R","P"),IF(AND('Actividades'!$M15&gt;0,'Actividades'!$M15&lt;=U$9+6,'Actividades'!$N15&gt;=U$9),"H",""))</x:f>
      </x:c>
      <x:c r="V21" s="27" t="str">
        <x:f>IF(AND(ISNUMBER($F21),ISNUMBER($G21),$F21&lt;=V$9+6,$G21&gt;=V$9),IF('Actividades'!$M15&gt;0,"R","P"),IF(AND('Actividades'!$M15&gt;0,'Actividades'!$M15&lt;=V$9+6,'Actividades'!$N15&gt;=V$9),"H",""))</x:f>
      </x:c>
      <x:c r="W21" s="27" t="str">
        <x:f>IF(AND(ISNUMBER($F21),ISNUMBER($G21),$F21&lt;=W$9+6,$G21&gt;=W$9),IF('Actividades'!$M15&gt;0,"R","P"),IF(AND('Actividades'!$M15&gt;0,'Actividades'!$M15&lt;=W$9+6,'Actividades'!$N15&gt;=W$9),"H",""))</x:f>
      </x:c>
      <x:c r="X21" s="27" t="str">
        <x:f>IF(AND(ISNUMBER($F21),ISNUMBER($G21),$F21&lt;=X$9+6,$G21&gt;=X$9),IF('Actividades'!$M15&gt;0,"R","P"),IF(AND('Actividades'!$M15&gt;0,'Actividades'!$M15&lt;=X$9+6,'Actividades'!$N15&gt;=X$9),"H",""))</x:f>
      </x:c>
      <x:c r="Y21" s="27" t="str">
        <x:f>IF(AND(ISNUMBER($F21),ISNUMBER($G21),$F21&lt;=Y$9+6,$G21&gt;=Y$9),IF('Actividades'!$M15&gt;0,"R","P"),IF(AND('Actividades'!$M15&gt;0,'Actividades'!$M15&lt;=Y$9+6,'Actividades'!$N15&gt;=Y$9),"H",""))</x:f>
      </x:c>
      <x:c r="Z21" s="27" t="str">
        <x:f>IF(AND(ISNUMBER($F21),ISNUMBER($G21),$F21&lt;=Z$9+6,$G21&gt;=Z$9),IF('Actividades'!$M15&gt;0,"R","P"),IF(AND('Actividades'!$M15&gt;0,'Actividades'!$M15&lt;=Z$9+6,'Actividades'!$N15&gt;=Z$9),"H",""))</x:f>
      </x:c>
    </x:row>
    <x:row r="22" ht="42" customHeight="1">
      <x:c r="A22" s="21" t="str">
        <x:f>IF('Actividades'!B16="",'Actividades'!A16,'Actividades'!B16)</x:f>
        <x:v>SCRUM-22</x:v>
      </x:c>
      <x:c r="B22" s="21" t="str">
        <x:f>'Actividades'!C16</x:f>
        <x:v>Entrega y presentación Fase 1</x:v>
      </x:c>
      <x:c r="C22" s="21" t="str">
        <x:f>IF('Actividades'!E16="No aplica","Propuesta",'Actividades'!E16)</x:f>
        <x:v>En revisión</x:v>
      </x:c>
      <x:c r="D22" s="21" t="str">
        <x:f>'Actividades'!H16</x:f>
        <x:v>Documentado</x:v>
      </x:c>
      <x:c r="E22" s="21" t="n">
        <x:f>IF('Actividades'!F16="","",'Actividades'!F16)</x:f>
        <x:v>5</x:v>
      </x:c>
      <x:c r="F22" s="24" t="n">
        <x:f>IF('Actividades'!O16="","",'Actividades'!O16)</x:f>
        <x:v>46310</x:v>
      </x:c>
      <x:c r="G22" s="24" t="n">
        <x:f>IF('Actividades'!P16="","",'Actividades'!P16)</x:f>
        <x:v>46312</x:v>
      </x:c>
      <x:c r="H22" s="2"/>
      <x:c r="I22" s="27" t="str">
        <x:f>IF(AND(ISNUMBER($F22),ISNUMBER($G22),$F22&lt;=I$9+6,$G22&gt;=I$9),IF('Actividades'!$M16&gt;0,"R","P"),IF(AND('Actividades'!$M16&gt;0,'Actividades'!$M16&lt;=I$9+6,'Actividades'!$N16&gt;=I$9),"H",""))</x:f>
      </x:c>
      <x:c r="J22" s="27" t="str">
        <x:f>IF(AND(ISNUMBER($F22),ISNUMBER($G22),$F22&lt;=J$9+6,$G22&gt;=J$9),IF('Actividades'!$M16&gt;0,"R","P"),IF(AND('Actividades'!$M16&gt;0,'Actividades'!$M16&lt;=J$9+6,'Actividades'!$N16&gt;=J$9),"H",""))</x:f>
      </x:c>
      <x:c r="K22" s="27" t="str">
        <x:f>IF(AND(ISNUMBER($F22),ISNUMBER($G22),$F22&lt;=K$9+6,$G22&gt;=K$9),IF('Actividades'!$M16&gt;0,"R","P"),IF(AND('Actividades'!$M16&gt;0,'Actividades'!$M16&lt;=K$9+6,'Actividades'!$N16&gt;=K$9),"H",""))</x:f>
        <x:v>H</x:v>
      </x:c>
      <x:c r="L22" s="27" t="str">
        <x:f>IF(AND(ISNUMBER($F22),ISNUMBER($G22),$F22&lt;=L$9+6,$G22&gt;=L$9),IF('Actividades'!$M16&gt;0,"R","P"),IF(AND('Actividades'!$M16&gt;0,'Actividades'!$M16&lt;=L$9+6,'Actividades'!$N16&gt;=L$9),"H",""))</x:f>
        <x:v>H</x:v>
      </x:c>
      <x:c r="M22" s="27" t="str">
        <x:f>IF(AND(ISNUMBER($F22),ISNUMBER($G22),$F22&lt;=M$9+6,$G22&gt;=M$9),IF('Actividades'!$M16&gt;0,"R","P"),IF(AND('Actividades'!$M16&gt;0,'Actividades'!$M16&lt;=M$9+6,'Actividades'!$N16&gt;=M$9),"H",""))</x:f>
      </x:c>
      <x:c r="N22" s="27" t="str">
        <x:f>IF(AND(ISNUMBER($F22),ISNUMBER($G22),$F22&lt;=N$9+6,$G22&gt;=N$9),IF('Actividades'!$M16&gt;0,"R","P"),IF(AND('Actividades'!$M16&gt;0,'Actividades'!$M16&lt;=N$9+6,'Actividades'!$N16&gt;=N$9),"H",""))</x:f>
      </x:c>
      <x:c r="O22" s="27" t="str">
        <x:f>IF(AND(ISNUMBER($F22),ISNUMBER($G22),$F22&lt;=O$9+6,$G22&gt;=O$9),IF('Actividades'!$M16&gt;0,"R","P"),IF(AND('Actividades'!$M16&gt;0,'Actividades'!$M16&lt;=O$9+6,'Actividades'!$N16&gt;=O$9),"H",""))</x:f>
      </x:c>
      <x:c r="P22" s="27" t="str">
        <x:f>IF(AND(ISNUMBER($F22),ISNUMBER($G22),$F22&lt;=P$9+6,$G22&gt;=P$9),IF('Actividades'!$M16&gt;0,"R","P"),IF(AND('Actividades'!$M16&gt;0,'Actividades'!$M16&lt;=P$9+6,'Actividades'!$N16&gt;=P$9),"H",""))</x:f>
      </x:c>
      <x:c r="Q22" s="27" t="str">
        <x:f>IF(AND(ISNUMBER($F22),ISNUMBER($G22),$F22&lt;=Q$9+6,$G22&gt;=Q$9),IF('Actividades'!$M16&gt;0,"R","P"),IF(AND('Actividades'!$M16&gt;0,'Actividades'!$M16&lt;=Q$9+6,'Actividades'!$N16&gt;=Q$9),"H",""))</x:f>
      </x:c>
      <x:c r="R22" s="27" t="str">
        <x:f>IF(AND(ISNUMBER($F22),ISNUMBER($G22),$F22&lt;=R$9+6,$G22&gt;=R$9),IF('Actividades'!$M16&gt;0,"R","P"),IF(AND('Actividades'!$M16&gt;0,'Actividades'!$M16&lt;=R$9+6,'Actividades'!$N16&gt;=R$9),"H",""))</x:f>
        <x:v>R</x:v>
      </x:c>
      <x:c r="S22" s="27" t="str">
        <x:f>IF(AND(ISNUMBER($F22),ISNUMBER($G22),$F22&lt;=S$9+6,$G22&gt;=S$9),IF('Actividades'!$M16&gt;0,"R","P"),IF(AND('Actividades'!$M16&gt;0,'Actividades'!$M16&lt;=S$9+6,'Actividades'!$N16&gt;=S$9),"H",""))</x:f>
      </x:c>
      <x:c r="T22" s="27" t="str">
        <x:f>IF(AND(ISNUMBER($F22),ISNUMBER($G22),$F22&lt;=T$9+6,$G22&gt;=T$9),IF('Actividades'!$M16&gt;0,"R","P"),IF(AND('Actividades'!$M16&gt;0,'Actividades'!$M16&lt;=T$9+6,'Actividades'!$N16&gt;=T$9),"H",""))</x:f>
      </x:c>
      <x:c r="U22" s="27" t="str">
        <x:f>IF(AND(ISNUMBER($F22),ISNUMBER($G22),$F22&lt;=U$9+6,$G22&gt;=U$9),IF('Actividades'!$M16&gt;0,"R","P"),IF(AND('Actividades'!$M16&gt;0,'Actividades'!$M16&lt;=U$9+6,'Actividades'!$N16&gt;=U$9),"H",""))</x:f>
      </x:c>
      <x:c r="V22" s="27" t="str">
        <x:f>IF(AND(ISNUMBER($F22),ISNUMBER($G22),$F22&lt;=V$9+6,$G22&gt;=V$9),IF('Actividades'!$M16&gt;0,"R","P"),IF(AND('Actividades'!$M16&gt;0,'Actividades'!$M16&lt;=V$9+6,'Actividades'!$N16&gt;=V$9),"H",""))</x:f>
      </x:c>
      <x:c r="W22" s="27" t="str">
        <x:f>IF(AND(ISNUMBER($F22),ISNUMBER($G22),$F22&lt;=W$9+6,$G22&gt;=W$9),IF('Actividades'!$M16&gt;0,"R","P"),IF(AND('Actividades'!$M16&gt;0,'Actividades'!$M16&lt;=W$9+6,'Actividades'!$N16&gt;=W$9),"H",""))</x:f>
      </x:c>
      <x:c r="X22" s="27" t="str">
        <x:f>IF(AND(ISNUMBER($F22),ISNUMBER($G22),$F22&lt;=X$9+6,$G22&gt;=X$9),IF('Actividades'!$M16&gt;0,"R","P"),IF(AND('Actividades'!$M16&gt;0,'Actividades'!$M16&lt;=X$9+6,'Actividades'!$N16&gt;=X$9),"H",""))</x:f>
      </x:c>
      <x:c r="Y22" s="27" t="str">
        <x:f>IF(AND(ISNUMBER($F22),ISNUMBER($G22),$F22&lt;=Y$9+6,$G22&gt;=Y$9),IF('Actividades'!$M16&gt;0,"R","P"),IF(AND('Actividades'!$M16&gt;0,'Actividades'!$M16&lt;=Y$9+6,'Actividades'!$N16&gt;=Y$9),"H",""))</x:f>
      </x:c>
      <x:c r="Z22" s="27" t="str">
        <x:f>IF(AND(ISNUMBER($F22),ISNUMBER($G22),$F22&lt;=Z$9+6,$G22&gt;=Z$9),IF('Actividades'!$M16&gt;0,"R","P"),IF(AND('Actividades'!$M16&gt;0,'Actividades'!$M16&lt;=Z$9+6,'Actividades'!$N16&gt;=Z$9),"H",""))</x:f>
      </x:c>
    </x:row>
    <x:row r="23" ht="42" customHeight="1">
      <x:c r="A23" s="10" t="str">
        <x:f>IF('Actividades'!B17="",'Actividades'!A17,'Actividades'!B17)</x:f>
        <x:v>SCRUM-47</x:v>
      </x:c>
      <x:c r="B23" s="10" t="str">
        <x:f>'Actividades'!C17</x:f>
        <x:v>Corregir dominio universitario a escolar</x:v>
      </x:c>
      <x:c r="C23" s="10" t="str">
        <x:f>IF('Actividades'!E17="No aplica","Propuesta",'Actividades'!E17)</x:f>
        <x:v>Terminada</x:v>
      </x:c>
      <x:c r="D23" s="10" t="str">
        <x:f>'Actividades'!H17</x:f>
        <x:v>Implementado</x:v>
      </x:c>
      <x:c r="E23" s="10" t="n">
        <x:f>IF('Actividades'!F17="","",'Actividades'!F17)</x:f>
        <x:v>8</x:v>
      </x:c>
      <x:c r="F23" s="23" t="str">
        <x:f>IF('Actividades'!O17="","",'Actividades'!O17)</x:f>
      </x:c>
      <x:c r="G23" s="23" t="str">
        <x:f>IF('Actividades'!P17="","",'Actividades'!P17)</x:f>
      </x:c>
      <x:c r="H23" s="2"/>
      <x:c r="I23" s="27" t="str">
        <x:f>IF(AND(ISNUMBER($F23),ISNUMBER($G23),$F23&lt;=I$9+6,$G23&gt;=I$9),IF('Actividades'!$M17&gt;0,"R","P"),IF(AND('Actividades'!$M17&gt;0,'Actividades'!$M17&lt;=I$9+6,'Actividades'!$N17&gt;=I$9),"H",""))</x:f>
      </x:c>
      <x:c r="J23" s="27" t="str">
        <x:f>IF(AND(ISNUMBER($F23),ISNUMBER($G23),$F23&lt;=J$9+6,$G23&gt;=J$9),IF('Actividades'!$M17&gt;0,"R","P"),IF(AND('Actividades'!$M17&gt;0,'Actividades'!$M17&lt;=J$9+6,'Actividades'!$N17&gt;=J$9),"H",""))</x:f>
      </x:c>
      <x:c r="K23" s="27" t="str">
        <x:f>IF(AND(ISNUMBER($F23),ISNUMBER($G23),$F23&lt;=K$9+6,$G23&gt;=K$9),IF('Actividades'!$M17&gt;0,"R","P"),IF(AND('Actividades'!$M17&gt;0,'Actividades'!$M17&lt;=K$9+6,'Actividades'!$N17&gt;=K$9),"H",""))</x:f>
        <x:v>H</x:v>
      </x:c>
      <x:c r="L23" s="27" t="str">
        <x:f>IF(AND(ISNUMBER($F23),ISNUMBER($G23),$F23&lt;=L$9+6,$G23&gt;=L$9),IF('Actividades'!$M17&gt;0,"R","P"),IF(AND('Actividades'!$M17&gt;0,'Actividades'!$M17&lt;=L$9+6,'Actividades'!$N17&gt;=L$9),"H",""))</x:f>
        <x:v>H</x:v>
      </x:c>
      <x:c r="M23" s="27" t="str">
        <x:f>IF(AND(ISNUMBER($F23),ISNUMBER($G23),$F23&lt;=M$9+6,$G23&gt;=M$9),IF('Actividades'!$M17&gt;0,"R","P"),IF(AND('Actividades'!$M17&gt;0,'Actividades'!$M17&lt;=M$9+6,'Actividades'!$N17&gt;=M$9),"H",""))</x:f>
      </x:c>
      <x:c r="N23" s="27" t="str">
        <x:f>IF(AND(ISNUMBER($F23),ISNUMBER($G23),$F23&lt;=N$9+6,$G23&gt;=N$9),IF('Actividades'!$M17&gt;0,"R","P"),IF(AND('Actividades'!$M17&gt;0,'Actividades'!$M17&lt;=N$9+6,'Actividades'!$N17&gt;=N$9),"H",""))</x:f>
      </x:c>
      <x:c r="O23" s="27" t="str">
        <x:f>IF(AND(ISNUMBER($F23),ISNUMBER($G23),$F23&lt;=O$9+6,$G23&gt;=O$9),IF('Actividades'!$M17&gt;0,"R","P"),IF(AND('Actividades'!$M17&gt;0,'Actividades'!$M17&lt;=O$9+6,'Actividades'!$N17&gt;=O$9),"H",""))</x:f>
      </x:c>
      <x:c r="P23" s="27" t="str">
        <x:f>IF(AND(ISNUMBER($F23),ISNUMBER($G23),$F23&lt;=P$9+6,$G23&gt;=P$9),IF('Actividades'!$M17&gt;0,"R","P"),IF(AND('Actividades'!$M17&gt;0,'Actividades'!$M17&lt;=P$9+6,'Actividades'!$N17&gt;=P$9),"H",""))</x:f>
      </x:c>
      <x:c r="Q23" s="27" t="str">
        <x:f>IF(AND(ISNUMBER($F23),ISNUMBER($G23),$F23&lt;=Q$9+6,$G23&gt;=Q$9),IF('Actividades'!$M17&gt;0,"R","P"),IF(AND('Actividades'!$M17&gt;0,'Actividades'!$M17&lt;=Q$9+6,'Actividades'!$N17&gt;=Q$9),"H",""))</x:f>
      </x:c>
      <x:c r="R23" s="27" t="str">
        <x:f>IF(AND(ISNUMBER($F23),ISNUMBER($G23),$F23&lt;=R$9+6,$G23&gt;=R$9),IF('Actividades'!$M17&gt;0,"R","P"),IF(AND('Actividades'!$M17&gt;0,'Actividades'!$M17&lt;=R$9+6,'Actividades'!$N17&gt;=R$9),"H",""))</x:f>
      </x:c>
      <x:c r="S23" s="27" t="str">
        <x:f>IF(AND(ISNUMBER($F23),ISNUMBER($G23),$F23&lt;=S$9+6,$G23&gt;=S$9),IF('Actividades'!$M17&gt;0,"R","P"),IF(AND('Actividades'!$M17&gt;0,'Actividades'!$M17&lt;=S$9+6,'Actividades'!$N17&gt;=S$9),"H",""))</x:f>
      </x:c>
      <x:c r="T23" s="27" t="str">
        <x:f>IF(AND(ISNUMBER($F23),ISNUMBER($G23),$F23&lt;=T$9+6,$G23&gt;=T$9),IF('Actividades'!$M17&gt;0,"R","P"),IF(AND('Actividades'!$M17&gt;0,'Actividades'!$M17&lt;=T$9+6,'Actividades'!$N17&gt;=T$9),"H",""))</x:f>
      </x:c>
      <x:c r="U23" s="27" t="str">
        <x:f>IF(AND(ISNUMBER($F23),ISNUMBER($G23),$F23&lt;=U$9+6,$G23&gt;=U$9),IF('Actividades'!$M17&gt;0,"R","P"),IF(AND('Actividades'!$M17&gt;0,'Actividades'!$M17&lt;=U$9+6,'Actividades'!$N17&gt;=U$9),"H",""))</x:f>
      </x:c>
      <x:c r="V23" s="27" t="str">
        <x:f>IF(AND(ISNUMBER($F23),ISNUMBER($G23),$F23&lt;=V$9+6,$G23&gt;=V$9),IF('Actividades'!$M17&gt;0,"R","P"),IF(AND('Actividades'!$M17&gt;0,'Actividades'!$M17&lt;=V$9+6,'Actividades'!$N17&gt;=V$9),"H",""))</x:f>
      </x:c>
      <x:c r="W23" s="27" t="str">
        <x:f>IF(AND(ISNUMBER($F23),ISNUMBER($G23),$F23&lt;=W$9+6,$G23&gt;=W$9),IF('Actividades'!$M17&gt;0,"R","P"),IF(AND('Actividades'!$M17&gt;0,'Actividades'!$M17&lt;=W$9+6,'Actividades'!$N17&gt;=W$9),"H",""))</x:f>
      </x:c>
      <x:c r="X23" s="27" t="str">
        <x:f>IF(AND(ISNUMBER($F23),ISNUMBER($G23),$F23&lt;=X$9+6,$G23&gt;=X$9),IF('Actividades'!$M17&gt;0,"R","P"),IF(AND('Actividades'!$M17&gt;0,'Actividades'!$M17&lt;=X$9+6,'Actividades'!$N17&gt;=X$9),"H",""))</x:f>
      </x:c>
      <x:c r="Y23" s="27" t="str">
        <x:f>IF(AND(ISNUMBER($F23),ISNUMBER($G23),$F23&lt;=Y$9+6,$G23&gt;=Y$9),IF('Actividades'!$M17&gt;0,"R","P"),IF(AND('Actividades'!$M17&gt;0,'Actividades'!$M17&lt;=Y$9+6,'Actividades'!$N17&gt;=Y$9),"H",""))</x:f>
      </x:c>
      <x:c r="Z23" s="27" t="str">
        <x:f>IF(AND(ISNUMBER($F23),ISNUMBER($G23),$F23&lt;=Z$9+6,$G23&gt;=Z$9),IF('Actividades'!$M17&gt;0,"R","P"),IF(AND('Actividades'!$M17&gt;0,'Actividades'!$M17&lt;=Z$9+6,'Actividades'!$N17&gt;=Z$9),"H",""))</x:f>
      </x:c>
    </x:row>
    <x:row r="24" ht="42" customHeight="1">
      <x:c r="A24" s="21" t="str">
        <x:f>IF('Actividades'!B18="",'Actividades'!A18,'Actividades'!B18)</x:f>
        <x:v>SCRUM-50</x:v>
      </x:c>
      <x:c r="B24" s="21" t="str">
        <x:f>'Actividades'!C18</x:f>
        <x:v>Modelo docente</x:v>
      </x:c>
      <x:c r="C24" s="21" t="str">
        <x:f>IF('Actividades'!E18="No aplica","Propuesta",'Actividades'!E18)</x:f>
        <x:v>En revisión</x:v>
      </x:c>
      <x:c r="D24" s="21" t="str">
        <x:f>'Actividades'!H18</x:f>
        <x:v>Implementado</x:v>
      </x:c>
      <x:c r="E24" s="21" t="n">
        <x:f>IF('Actividades'!F18="","",'Actividades'!F18)</x:f>
        <x:v>13</x:v>
      </x:c>
      <x:c r="F24" s="24" t="n">
        <x:f>IF('Actividades'!O18="","",'Actividades'!O18)</x:f>
        <x:v>46310</x:v>
      </x:c>
      <x:c r="G24" s="24" t="n">
        <x:f>IF('Actividades'!P18="","",'Actividades'!P18)</x:f>
        <x:v>46312</x:v>
      </x:c>
      <x:c r="H24" s="2"/>
      <x:c r="I24" s="27" t="str">
        <x:f>IF(AND(ISNUMBER($F24),ISNUMBER($G24),$F24&lt;=I$9+6,$G24&gt;=I$9),IF('Actividades'!$M18&gt;0,"R","P"),IF(AND('Actividades'!$M18&gt;0,'Actividades'!$M18&lt;=I$9+6,'Actividades'!$N18&gt;=I$9),"H",""))</x:f>
      </x:c>
      <x:c r="J24" s="27" t="str">
        <x:f>IF(AND(ISNUMBER($F24),ISNUMBER($G24),$F24&lt;=J$9+6,$G24&gt;=J$9),IF('Actividades'!$M18&gt;0,"R","P"),IF(AND('Actividades'!$M18&gt;0,'Actividades'!$M18&lt;=J$9+6,'Actividades'!$N18&gt;=J$9),"H",""))</x:f>
      </x:c>
      <x:c r="K24" s="27" t="str">
        <x:f>IF(AND(ISNUMBER($F24),ISNUMBER($G24),$F24&lt;=K$9+6,$G24&gt;=K$9),IF('Actividades'!$M18&gt;0,"R","P"),IF(AND('Actividades'!$M18&gt;0,'Actividades'!$M18&lt;=K$9+6,'Actividades'!$N18&gt;=K$9),"H",""))</x:f>
        <x:v>H</x:v>
      </x:c>
      <x:c r="L24" s="27" t="str">
        <x:f>IF(AND(ISNUMBER($F24),ISNUMBER($G24),$F24&lt;=L$9+6,$G24&gt;=L$9),IF('Actividades'!$M18&gt;0,"R","P"),IF(AND('Actividades'!$M18&gt;0,'Actividades'!$M18&lt;=L$9+6,'Actividades'!$N18&gt;=L$9),"H",""))</x:f>
        <x:v>H</x:v>
      </x:c>
      <x:c r="M24" s="27" t="str">
        <x:f>IF(AND(ISNUMBER($F24),ISNUMBER($G24),$F24&lt;=M$9+6,$G24&gt;=M$9),IF('Actividades'!$M18&gt;0,"R","P"),IF(AND('Actividades'!$M18&gt;0,'Actividades'!$M18&lt;=M$9+6,'Actividades'!$N18&gt;=M$9),"H",""))</x:f>
      </x:c>
      <x:c r="N24" s="27" t="str">
        <x:f>IF(AND(ISNUMBER($F24),ISNUMBER($G24),$F24&lt;=N$9+6,$G24&gt;=N$9),IF('Actividades'!$M18&gt;0,"R","P"),IF(AND('Actividades'!$M18&gt;0,'Actividades'!$M18&lt;=N$9+6,'Actividades'!$N18&gt;=N$9),"H",""))</x:f>
      </x:c>
      <x:c r="O24" s="27" t="str">
        <x:f>IF(AND(ISNUMBER($F24),ISNUMBER($G24),$F24&lt;=O$9+6,$G24&gt;=O$9),IF('Actividades'!$M18&gt;0,"R","P"),IF(AND('Actividades'!$M18&gt;0,'Actividades'!$M18&lt;=O$9+6,'Actividades'!$N18&gt;=O$9),"H",""))</x:f>
      </x:c>
      <x:c r="P24" s="27" t="str">
        <x:f>IF(AND(ISNUMBER($F24),ISNUMBER($G24),$F24&lt;=P$9+6,$G24&gt;=P$9),IF('Actividades'!$M18&gt;0,"R","P"),IF(AND('Actividades'!$M18&gt;0,'Actividades'!$M18&lt;=P$9+6,'Actividades'!$N18&gt;=P$9),"H",""))</x:f>
      </x:c>
      <x:c r="Q24" s="27" t="str">
        <x:f>IF(AND(ISNUMBER($F24),ISNUMBER($G24),$F24&lt;=Q$9+6,$G24&gt;=Q$9),IF('Actividades'!$M18&gt;0,"R","P"),IF(AND('Actividades'!$M18&gt;0,'Actividades'!$M18&lt;=Q$9+6,'Actividades'!$N18&gt;=Q$9),"H",""))</x:f>
      </x:c>
      <x:c r="R24" s="27" t="str">
        <x:f>IF(AND(ISNUMBER($F24),ISNUMBER($G24),$F24&lt;=R$9+6,$G24&gt;=R$9),IF('Actividades'!$M18&gt;0,"R","P"),IF(AND('Actividades'!$M18&gt;0,'Actividades'!$M18&lt;=R$9+6,'Actividades'!$N18&gt;=R$9),"H",""))</x:f>
        <x:v>R</x:v>
      </x:c>
      <x:c r="S24" s="27" t="str">
        <x:f>IF(AND(ISNUMBER($F24),ISNUMBER($G24),$F24&lt;=S$9+6,$G24&gt;=S$9),IF('Actividades'!$M18&gt;0,"R","P"),IF(AND('Actividades'!$M18&gt;0,'Actividades'!$M18&lt;=S$9+6,'Actividades'!$N18&gt;=S$9),"H",""))</x:f>
      </x:c>
      <x:c r="T24" s="27" t="str">
        <x:f>IF(AND(ISNUMBER($F24),ISNUMBER($G24),$F24&lt;=T$9+6,$G24&gt;=T$9),IF('Actividades'!$M18&gt;0,"R","P"),IF(AND('Actividades'!$M18&gt;0,'Actividades'!$M18&lt;=T$9+6,'Actividades'!$N18&gt;=T$9),"H",""))</x:f>
      </x:c>
      <x:c r="U24" s="27" t="str">
        <x:f>IF(AND(ISNUMBER($F24),ISNUMBER($G24),$F24&lt;=U$9+6,$G24&gt;=U$9),IF('Actividades'!$M18&gt;0,"R","P"),IF(AND('Actividades'!$M18&gt;0,'Actividades'!$M18&lt;=U$9+6,'Actividades'!$N18&gt;=U$9),"H",""))</x:f>
      </x:c>
      <x:c r="V24" s="27" t="str">
        <x:f>IF(AND(ISNUMBER($F24),ISNUMBER($G24),$F24&lt;=V$9+6,$G24&gt;=V$9),IF('Actividades'!$M18&gt;0,"R","P"),IF(AND('Actividades'!$M18&gt;0,'Actividades'!$M18&lt;=V$9+6,'Actividades'!$N18&gt;=V$9),"H",""))</x:f>
      </x:c>
      <x:c r="W24" s="27" t="str">
        <x:f>IF(AND(ISNUMBER($F24),ISNUMBER($G24),$F24&lt;=W$9+6,$G24&gt;=W$9),IF('Actividades'!$M18&gt;0,"R","P"),IF(AND('Actividades'!$M18&gt;0,'Actividades'!$M18&lt;=W$9+6,'Actividades'!$N18&gt;=W$9),"H",""))</x:f>
      </x:c>
      <x:c r="X24" s="27" t="str">
        <x:f>IF(AND(ISNUMBER($F24),ISNUMBER($G24),$F24&lt;=X$9+6,$G24&gt;=X$9),IF('Actividades'!$M18&gt;0,"R","P"),IF(AND('Actividades'!$M18&gt;0,'Actividades'!$M18&lt;=X$9+6,'Actividades'!$N18&gt;=X$9),"H",""))</x:f>
      </x:c>
      <x:c r="Y24" s="27" t="str">
        <x:f>IF(AND(ISNUMBER($F24),ISNUMBER($G24),$F24&lt;=Y$9+6,$G24&gt;=Y$9),IF('Actividades'!$M18&gt;0,"R","P"),IF(AND('Actividades'!$M18&gt;0,'Actividades'!$M18&lt;=Y$9+6,'Actividades'!$N18&gt;=Y$9),"H",""))</x:f>
      </x:c>
      <x:c r="Z24" s="27" t="str">
        <x:f>IF(AND(ISNUMBER($F24),ISNUMBER($G24),$F24&lt;=Z$9+6,$G24&gt;=Z$9),IF('Actividades'!$M18&gt;0,"R","P"),IF(AND('Actividades'!$M18&gt;0,'Actividades'!$M18&lt;=Z$9+6,'Actividades'!$N18&gt;=Z$9),"H",""))</x:f>
      </x:c>
    </x:row>
    <x:row r="25" ht="42" customHeight="1">
      <x:c r="A25" s="10" t="str">
        <x:f>IF('Actividades'!B19="",'Actividades'!A19,'Actividades'!B19)</x:f>
        <x:v>SCRUM-51</x:v>
      </x:c>
      <x:c r="B25" s="10" t="str">
        <x:f>'Actividades'!C19</x:f>
        <x:v>Modelo estudiante</x:v>
      </x:c>
      <x:c r="C25" s="10" t="str">
        <x:f>IF('Actividades'!E19="No aplica","Propuesta",'Actividades'!E19)</x:f>
        <x:v>En curso</x:v>
      </x:c>
      <x:c r="D25" s="10" t="str">
        <x:f>'Actividades'!H19</x:f>
        <x:v>Parcial</x:v>
      </x:c>
      <x:c r="E25" s="10" t="n">
        <x:f>IF('Actividades'!F19="","",'Actividades'!F19)</x:f>
        <x:v>13</x:v>
      </x:c>
      <x:c r="F25" s="23" t="n">
        <x:f>IF('Actividades'!O19="","",'Actividades'!O19)</x:f>
        <x:v>46314</x:v>
      </x:c>
      <x:c r="G25" s="23" t="n">
        <x:f>IF('Actividades'!P19="","",'Actividades'!P19)</x:f>
        <x:v>46319</x:v>
      </x:c>
      <x:c r="H25" s="2"/>
      <x:c r="I25" s="27" t="str">
        <x:f>IF(AND(ISNUMBER($F25),ISNUMBER($G25),$F25&lt;=I$9+6,$G25&gt;=I$9),IF('Actividades'!$M19&gt;0,"R","P"),IF(AND('Actividades'!$M19&gt;0,'Actividades'!$M19&lt;=I$9+6,'Actividades'!$N19&gt;=I$9),"H",""))</x:f>
      </x:c>
      <x:c r="J25" s="27" t="str">
        <x:f>IF(AND(ISNUMBER($F25),ISNUMBER($G25),$F25&lt;=J$9+6,$G25&gt;=J$9),IF('Actividades'!$M19&gt;0,"R","P"),IF(AND('Actividades'!$M19&gt;0,'Actividades'!$M19&lt;=J$9+6,'Actividades'!$N19&gt;=J$9),"H",""))</x:f>
      </x:c>
      <x:c r="K25" s="27" t="str">
        <x:f>IF(AND(ISNUMBER($F25),ISNUMBER($G25),$F25&lt;=K$9+6,$G25&gt;=K$9),IF('Actividades'!$M19&gt;0,"R","P"),IF(AND('Actividades'!$M19&gt;0,'Actividades'!$M19&lt;=K$9+6,'Actividades'!$N19&gt;=K$9),"H",""))</x:f>
        <x:v>H</x:v>
      </x:c>
      <x:c r="L25" s="27" t="str">
        <x:f>IF(AND(ISNUMBER($F25),ISNUMBER($G25),$F25&lt;=L$9+6,$G25&gt;=L$9),IF('Actividades'!$M19&gt;0,"R","P"),IF(AND('Actividades'!$M19&gt;0,'Actividades'!$M19&lt;=L$9+6,'Actividades'!$N19&gt;=L$9),"H",""))</x:f>
        <x:v>H</x:v>
      </x:c>
      <x:c r="M25" s="27" t="str">
        <x:f>IF(AND(ISNUMBER($F25),ISNUMBER($G25),$F25&lt;=M$9+6,$G25&gt;=M$9),IF('Actividades'!$M19&gt;0,"R","P"),IF(AND('Actividades'!$M19&gt;0,'Actividades'!$M19&lt;=M$9+6,'Actividades'!$N19&gt;=M$9),"H",""))</x:f>
      </x:c>
      <x:c r="N25" s="27" t="str">
        <x:f>IF(AND(ISNUMBER($F25),ISNUMBER($G25),$F25&lt;=N$9+6,$G25&gt;=N$9),IF('Actividades'!$M19&gt;0,"R","P"),IF(AND('Actividades'!$M19&gt;0,'Actividades'!$M19&lt;=N$9+6,'Actividades'!$N19&gt;=N$9),"H",""))</x:f>
      </x:c>
      <x:c r="O25" s="27" t="str">
        <x:f>IF(AND(ISNUMBER($F25),ISNUMBER($G25),$F25&lt;=O$9+6,$G25&gt;=O$9),IF('Actividades'!$M19&gt;0,"R","P"),IF(AND('Actividades'!$M19&gt;0,'Actividades'!$M19&lt;=O$9+6,'Actividades'!$N19&gt;=O$9),"H",""))</x:f>
      </x:c>
      <x:c r="P25" s="27" t="str">
        <x:f>IF(AND(ISNUMBER($F25),ISNUMBER($G25),$F25&lt;=P$9+6,$G25&gt;=P$9),IF('Actividades'!$M19&gt;0,"R","P"),IF(AND('Actividades'!$M19&gt;0,'Actividades'!$M19&lt;=P$9+6,'Actividades'!$N19&gt;=P$9),"H",""))</x:f>
      </x:c>
      <x:c r="Q25" s="27" t="str">
        <x:f>IF(AND(ISNUMBER($F25),ISNUMBER($G25),$F25&lt;=Q$9+6,$G25&gt;=Q$9),IF('Actividades'!$M19&gt;0,"R","P"),IF(AND('Actividades'!$M19&gt;0,'Actividades'!$M19&lt;=Q$9+6,'Actividades'!$N19&gt;=Q$9),"H",""))</x:f>
      </x:c>
      <x:c r="R25" s="27" t="str">
        <x:f>IF(AND(ISNUMBER($F25),ISNUMBER($G25),$F25&lt;=R$9+6,$G25&gt;=R$9),IF('Actividades'!$M19&gt;0,"R","P"),IF(AND('Actividades'!$M19&gt;0,'Actividades'!$M19&lt;=R$9+6,'Actividades'!$N19&gt;=R$9),"H",""))</x:f>
      </x:c>
      <x:c r="S25" s="27" t="str">
        <x:f>IF(AND(ISNUMBER($F25),ISNUMBER($G25),$F25&lt;=S$9+6,$G25&gt;=S$9),IF('Actividades'!$M19&gt;0,"R","P"),IF(AND('Actividades'!$M19&gt;0,'Actividades'!$M19&lt;=S$9+6,'Actividades'!$N19&gt;=S$9),"H",""))</x:f>
        <x:v>R</x:v>
      </x:c>
      <x:c r="T25" s="27" t="str">
        <x:f>IF(AND(ISNUMBER($F25),ISNUMBER($G25),$F25&lt;=T$9+6,$G25&gt;=T$9),IF('Actividades'!$M19&gt;0,"R","P"),IF(AND('Actividades'!$M19&gt;0,'Actividades'!$M19&lt;=T$9+6,'Actividades'!$N19&gt;=T$9),"H",""))</x:f>
      </x:c>
      <x:c r="U25" s="27" t="str">
        <x:f>IF(AND(ISNUMBER($F25),ISNUMBER($G25),$F25&lt;=U$9+6,$G25&gt;=U$9),IF('Actividades'!$M19&gt;0,"R","P"),IF(AND('Actividades'!$M19&gt;0,'Actividades'!$M19&lt;=U$9+6,'Actividades'!$N19&gt;=U$9),"H",""))</x:f>
      </x:c>
      <x:c r="V25" s="27" t="str">
        <x:f>IF(AND(ISNUMBER($F25),ISNUMBER($G25),$F25&lt;=V$9+6,$G25&gt;=V$9),IF('Actividades'!$M19&gt;0,"R","P"),IF(AND('Actividades'!$M19&gt;0,'Actividades'!$M19&lt;=V$9+6,'Actividades'!$N19&gt;=V$9),"H",""))</x:f>
      </x:c>
      <x:c r="W25" s="27" t="str">
        <x:f>IF(AND(ISNUMBER($F25),ISNUMBER($G25),$F25&lt;=W$9+6,$G25&gt;=W$9),IF('Actividades'!$M19&gt;0,"R","P"),IF(AND('Actividades'!$M19&gt;0,'Actividades'!$M19&lt;=W$9+6,'Actividades'!$N19&gt;=W$9),"H",""))</x:f>
      </x:c>
      <x:c r="X25" s="27" t="str">
        <x:f>IF(AND(ISNUMBER($F25),ISNUMBER($G25),$F25&lt;=X$9+6,$G25&gt;=X$9),IF('Actividades'!$M19&gt;0,"R","P"),IF(AND('Actividades'!$M19&gt;0,'Actividades'!$M19&lt;=X$9+6,'Actividades'!$N19&gt;=X$9),"H",""))</x:f>
      </x:c>
      <x:c r="Y25" s="27" t="str">
        <x:f>IF(AND(ISNUMBER($F25),ISNUMBER($G25),$F25&lt;=Y$9+6,$G25&gt;=Y$9),IF('Actividades'!$M19&gt;0,"R","P"),IF(AND('Actividades'!$M19&gt;0,'Actividades'!$M19&lt;=Y$9+6,'Actividades'!$N19&gt;=Y$9),"H",""))</x:f>
      </x:c>
      <x:c r="Z25" s="27" t="str">
        <x:f>IF(AND(ISNUMBER($F25),ISNUMBER($G25),$F25&lt;=Z$9+6,$G25&gt;=Z$9),IF('Actividades'!$M19&gt;0,"R","P"),IF(AND('Actividades'!$M19&gt;0,'Actividades'!$M19&lt;=Z$9+6,'Actividades'!$N19&gt;=Z$9),"H",""))</x:f>
      </x:c>
    </x:row>
    <x:row r="26" ht="42" customHeight="1">
      <x:c r="A26" s="21" t="str">
        <x:f>IF('Actividades'!B20="",'Actividades'!A20,'Actividades'!B20)</x:f>
        <x:v>SCRUM-52</x:v>
      </x:c>
      <x:c r="B26" s="21" t="str">
        <x:f>'Actividades'!C20</x:f>
        <x:v>Docker de equipo y aislamiento de servidor</x:v>
      </x:c>
      <x:c r="C26" s="21" t="str">
        <x:f>IF('Actividades'!E20="No aplica","Propuesta",'Actividades'!E20)</x:f>
        <x:v>En curso</x:v>
      </x:c>
      <x:c r="D26" s="21" t="str">
        <x:f>'Actividades'!H20</x:f>
        <x:v>Parcial</x:v>
      </x:c>
      <x:c r="E26" s="21" t="n">
        <x:f>IF('Actividades'!F20="","",'Actividades'!F20)</x:f>
        <x:v>8</x:v>
      </x:c>
      <x:c r="F26" s="24" t="n">
        <x:f>IF('Actividades'!O20="","",'Actividades'!O20)</x:f>
        <x:v>46314</x:v>
      </x:c>
      <x:c r="G26" s="24" t="n">
        <x:f>IF('Actividades'!P20="","",'Actividades'!P20)</x:f>
        <x:v>46319</x:v>
      </x:c>
      <x:c r="H26" s="2"/>
      <x:c r="I26" s="27" t="str">
        <x:f>IF(AND(ISNUMBER($F26),ISNUMBER($G26),$F26&lt;=I$9+6,$G26&gt;=I$9),IF('Actividades'!$M20&gt;0,"R","P"),IF(AND('Actividades'!$M20&gt;0,'Actividades'!$M20&lt;=I$9+6,'Actividades'!$N20&gt;=I$9),"H",""))</x:f>
      </x:c>
      <x:c r="J26" s="27" t="str">
        <x:f>IF(AND(ISNUMBER($F26),ISNUMBER($G26),$F26&lt;=J$9+6,$G26&gt;=J$9),IF('Actividades'!$M20&gt;0,"R","P"),IF(AND('Actividades'!$M20&gt;0,'Actividades'!$M20&lt;=J$9+6,'Actividades'!$N20&gt;=J$9),"H",""))</x:f>
      </x:c>
      <x:c r="K26" s="27" t="str">
        <x:f>IF(AND(ISNUMBER($F26),ISNUMBER($G26),$F26&lt;=K$9+6,$G26&gt;=K$9),IF('Actividades'!$M20&gt;0,"R","P"),IF(AND('Actividades'!$M20&gt;0,'Actividades'!$M20&lt;=K$9+6,'Actividades'!$N20&gt;=K$9),"H",""))</x:f>
        <x:v>H</x:v>
      </x:c>
      <x:c r="L26" s="27" t="str">
        <x:f>IF(AND(ISNUMBER($F26),ISNUMBER($G26),$F26&lt;=L$9+6,$G26&gt;=L$9),IF('Actividades'!$M20&gt;0,"R","P"),IF(AND('Actividades'!$M20&gt;0,'Actividades'!$M20&lt;=L$9+6,'Actividades'!$N20&gt;=L$9),"H",""))</x:f>
        <x:v>H</x:v>
      </x:c>
      <x:c r="M26" s="27" t="str">
        <x:f>IF(AND(ISNUMBER($F26),ISNUMBER($G26),$F26&lt;=M$9+6,$G26&gt;=M$9),IF('Actividades'!$M20&gt;0,"R","P"),IF(AND('Actividades'!$M20&gt;0,'Actividades'!$M20&lt;=M$9+6,'Actividades'!$N20&gt;=M$9),"H",""))</x:f>
      </x:c>
      <x:c r="N26" s="27" t="str">
        <x:f>IF(AND(ISNUMBER($F26),ISNUMBER($G26),$F26&lt;=N$9+6,$G26&gt;=N$9),IF('Actividades'!$M20&gt;0,"R","P"),IF(AND('Actividades'!$M20&gt;0,'Actividades'!$M20&lt;=N$9+6,'Actividades'!$N20&gt;=N$9),"H",""))</x:f>
      </x:c>
      <x:c r="O26" s="27" t="str">
        <x:f>IF(AND(ISNUMBER($F26),ISNUMBER($G26),$F26&lt;=O$9+6,$G26&gt;=O$9),IF('Actividades'!$M20&gt;0,"R","P"),IF(AND('Actividades'!$M20&gt;0,'Actividades'!$M20&lt;=O$9+6,'Actividades'!$N20&gt;=O$9),"H",""))</x:f>
      </x:c>
      <x:c r="P26" s="27" t="str">
        <x:f>IF(AND(ISNUMBER($F26),ISNUMBER($G26),$F26&lt;=P$9+6,$G26&gt;=P$9),IF('Actividades'!$M20&gt;0,"R","P"),IF(AND('Actividades'!$M20&gt;0,'Actividades'!$M20&lt;=P$9+6,'Actividades'!$N20&gt;=P$9),"H",""))</x:f>
      </x:c>
      <x:c r="Q26" s="27" t="str">
        <x:f>IF(AND(ISNUMBER($F26),ISNUMBER($G26),$F26&lt;=Q$9+6,$G26&gt;=Q$9),IF('Actividades'!$M20&gt;0,"R","P"),IF(AND('Actividades'!$M20&gt;0,'Actividades'!$M20&lt;=Q$9+6,'Actividades'!$N20&gt;=Q$9),"H",""))</x:f>
      </x:c>
      <x:c r="R26" s="27" t="str">
        <x:f>IF(AND(ISNUMBER($F26),ISNUMBER($G26),$F26&lt;=R$9+6,$G26&gt;=R$9),IF('Actividades'!$M20&gt;0,"R","P"),IF(AND('Actividades'!$M20&gt;0,'Actividades'!$M20&lt;=R$9+6,'Actividades'!$N20&gt;=R$9),"H",""))</x:f>
      </x:c>
      <x:c r="S26" s="27" t="str">
        <x:f>IF(AND(ISNUMBER($F26),ISNUMBER($G26),$F26&lt;=S$9+6,$G26&gt;=S$9),IF('Actividades'!$M20&gt;0,"R","P"),IF(AND('Actividades'!$M20&gt;0,'Actividades'!$M20&lt;=S$9+6,'Actividades'!$N20&gt;=S$9),"H",""))</x:f>
        <x:v>R</x:v>
      </x:c>
      <x:c r="T26" s="27" t="str">
        <x:f>IF(AND(ISNUMBER($F26),ISNUMBER($G26),$F26&lt;=T$9+6,$G26&gt;=T$9),IF('Actividades'!$M20&gt;0,"R","P"),IF(AND('Actividades'!$M20&gt;0,'Actividades'!$M20&lt;=T$9+6,'Actividades'!$N20&gt;=T$9),"H",""))</x:f>
      </x:c>
      <x:c r="U26" s="27" t="str">
        <x:f>IF(AND(ISNUMBER($F26),ISNUMBER($G26),$F26&lt;=U$9+6,$G26&gt;=U$9),IF('Actividades'!$M20&gt;0,"R","P"),IF(AND('Actividades'!$M20&gt;0,'Actividades'!$M20&lt;=U$9+6,'Actividades'!$N20&gt;=U$9),"H",""))</x:f>
      </x:c>
      <x:c r="V26" s="27" t="str">
        <x:f>IF(AND(ISNUMBER($F26),ISNUMBER($G26),$F26&lt;=V$9+6,$G26&gt;=V$9),IF('Actividades'!$M20&gt;0,"R","P"),IF(AND('Actividades'!$M20&gt;0,'Actividades'!$M20&lt;=V$9+6,'Actividades'!$N20&gt;=V$9),"H",""))</x:f>
      </x:c>
      <x:c r="W26" s="27" t="str">
        <x:f>IF(AND(ISNUMBER($F26),ISNUMBER($G26),$F26&lt;=W$9+6,$G26&gt;=W$9),IF('Actividades'!$M20&gt;0,"R","P"),IF(AND('Actividades'!$M20&gt;0,'Actividades'!$M20&lt;=W$9+6,'Actividades'!$N20&gt;=W$9),"H",""))</x:f>
      </x:c>
      <x:c r="X26" s="27" t="str">
        <x:f>IF(AND(ISNUMBER($F26),ISNUMBER($G26),$F26&lt;=X$9+6,$G26&gt;=X$9),IF('Actividades'!$M20&gt;0,"R","P"),IF(AND('Actividades'!$M20&gt;0,'Actividades'!$M20&lt;=X$9+6,'Actividades'!$N20&gt;=X$9),"H",""))</x:f>
      </x:c>
      <x:c r="Y26" s="27" t="str">
        <x:f>IF(AND(ISNUMBER($F26),ISNUMBER($G26),$F26&lt;=Y$9+6,$G26&gt;=Y$9),IF('Actividades'!$M20&gt;0,"R","P"),IF(AND('Actividades'!$M20&gt;0,'Actividades'!$M20&lt;=Y$9+6,'Actividades'!$N20&gt;=Y$9),"H",""))</x:f>
      </x:c>
      <x:c r="Z26" s="27" t="str">
        <x:f>IF(AND(ISNUMBER($F26),ISNUMBER($G26),$F26&lt;=Z$9+6,$G26&gt;=Z$9),IF('Actividades'!$M20&gt;0,"R","P"),IF(AND('Actividades'!$M20&gt;0,'Actividades'!$M20&lt;=Z$9+6,'Actividades'!$N20&gt;=Z$9),"H",""))</x:f>
      </x:c>
    </x:row>
    <x:row r="27">
      <x:c r="A27" s="2"/>
      <x:c r="B27" s="2"/>
      <x:c r="C27" s="2"/>
      <x:c r="D27" s="2"/>
      <x:c r="E27" s="2"/>
      <x:c r="F27" s="25"/>
      <x:c r="G27" s="25"/>
      <x:c r="H27" s="2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24" customHeight="1">
      <x:c r="A28" s="7" t="str">
        <x:v>Sprint 2</x:v>
      </x:c>
      <x:c r="B28" s="7"/>
      <x:c r="C28" s="7"/>
      <x:c r="D28" s="7"/>
      <x:c r="E28" s="7" t="n">
        <x:f>SUMIFS('Actividades'!$F$7:$F$51,'Actividades'!$G$7:$G$51,A28)</x:f>
        <x:v>13</x:v>
      </x:c>
      <x:c r="F28" s="22"/>
      <x:c r="G28" s="22"/>
      <x:c r="H28" s="7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42" customHeight="1">
      <x:c r="A29" s="10" t="str">
        <x:f>IF('Actividades'!B21="",'Actividades'!A21,'Actividades'!B21)</x:f>
        <x:v>SCRUM-25</x:v>
      </x:c>
      <x:c r="B29" s="10" t="str">
        <x:f>'Actividades'!C21</x:f>
        <x:v>Estructura escolar</x:v>
      </x:c>
      <x:c r="C29" s="10" t="str">
        <x:f>IF('Actividades'!E21="No aplica","Propuesta",'Actividades'!E21)</x:f>
        <x:v>En revisión</x:v>
      </x:c>
      <x:c r="D29" s="10" t="str">
        <x:f>'Actividades'!H21</x:f>
        <x:v>Implementado</x:v>
      </x:c>
      <x:c r="E29" s="10" t="n">
        <x:f>IF('Actividades'!F21="","",'Actividades'!F21)</x:f>
        <x:v>8</x:v>
      </x:c>
      <x:c r="F29" s="23" t="n">
        <x:f>IF('Actividades'!O21="","",'Actividades'!O21)</x:f>
        <x:v>46310</x:v>
      </x:c>
      <x:c r="G29" s="23" t="n">
        <x:f>IF('Actividades'!P21="","",'Actividades'!P21)</x:f>
        <x:v>46312</x:v>
      </x:c>
      <x:c r="H29" s="2"/>
      <x:c r="I29" s="27" t="str">
        <x:f>IF(AND(ISNUMBER($F29),ISNUMBER($G29),$F29&lt;=I$9+6,$G29&gt;=I$9),IF('Actividades'!$M21&gt;0,"R","P"),IF(AND('Actividades'!$M21&gt;0,'Actividades'!$M21&lt;=I$9+6,'Actividades'!$N21&gt;=I$9),"H",""))</x:f>
      </x:c>
      <x:c r="J29" s="27" t="str">
        <x:f>IF(AND(ISNUMBER($F29),ISNUMBER($G29),$F29&lt;=J$9+6,$G29&gt;=J$9),IF('Actividades'!$M21&gt;0,"R","P"),IF(AND('Actividades'!$M21&gt;0,'Actividades'!$M21&lt;=J$9+6,'Actividades'!$N21&gt;=J$9),"H",""))</x:f>
      </x:c>
      <x:c r="K29" s="27" t="str">
        <x:f>IF(AND(ISNUMBER($F29),ISNUMBER($G29),$F29&lt;=K$9+6,$G29&gt;=K$9),IF('Actividades'!$M21&gt;0,"R","P"),IF(AND('Actividades'!$M21&gt;0,'Actividades'!$M21&lt;=K$9+6,'Actividades'!$N21&gt;=K$9),"H",""))</x:f>
      </x:c>
      <x:c r="L29" s="27" t="str">
        <x:f>IF(AND(ISNUMBER($F29),ISNUMBER($G29),$F29&lt;=L$9+6,$G29&gt;=L$9),IF('Actividades'!$M21&gt;0,"R","P"),IF(AND('Actividades'!$M21&gt;0,'Actividades'!$M21&lt;=L$9+6,'Actividades'!$N21&gt;=L$9),"H",""))</x:f>
      </x:c>
      <x:c r="M29" s="27" t="str">
        <x:f>IF(AND(ISNUMBER($F29),ISNUMBER($G29),$F29&lt;=M$9+6,$G29&gt;=M$9),IF('Actividades'!$M21&gt;0,"R","P"),IF(AND('Actividades'!$M21&gt;0,'Actividades'!$M21&lt;=M$9+6,'Actividades'!$N21&gt;=M$9),"H",""))</x:f>
        <x:v>H</x:v>
      </x:c>
      <x:c r="N29" s="27" t="str">
        <x:f>IF(AND(ISNUMBER($F29),ISNUMBER($G29),$F29&lt;=N$9+6,$G29&gt;=N$9),IF('Actividades'!$M21&gt;0,"R","P"),IF(AND('Actividades'!$M21&gt;0,'Actividades'!$M21&lt;=N$9+6,'Actividades'!$N21&gt;=N$9),"H",""))</x:f>
        <x:v>H</x:v>
      </x:c>
      <x:c r="O29" s="27" t="str">
        <x:f>IF(AND(ISNUMBER($F29),ISNUMBER($G29),$F29&lt;=O$9+6,$G29&gt;=O$9),IF('Actividades'!$M21&gt;0,"R","P"),IF(AND('Actividades'!$M21&gt;0,'Actividades'!$M21&lt;=O$9+6,'Actividades'!$N21&gt;=O$9),"H",""))</x:f>
      </x:c>
      <x:c r="P29" s="27" t="str">
        <x:f>IF(AND(ISNUMBER($F29),ISNUMBER($G29),$F29&lt;=P$9+6,$G29&gt;=P$9),IF('Actividades'!$M21&gt;0,"R","P"),IF(AND('Actividades'!$M21&gt;0,'Actividades'!$M21&lt;=P$9+6,'Actividades'!$N21&gt;=P$9),"H",""))</x:f>
      </x:c>
      <x:c r="Q29" s="27" t="str">
        <x:f>IF(AND(ISNUMBER($F29),ISNUMBER($G29),$F29&lt;=Q$9+6,$G29&gt;=Q$9),IF('Actividades'!$M21&gt;0,"R","P"),IF(AND('Actividades'!$M21&gt;0,'Actividades'!$M21&lt;=Q$9+6,'Actividades'!$N21&gt;=Q$9),"H",""))</x:f>
      </x:c>
      <x:c r="R29" s="27" t="str">
        <x:f>IF(AND(ISNUMBER($F29),ISNUMBER($G29),$F29&lt;=R$9+6,$G29&gt;=R$9),IF('Actividades'!$M21&gt;0,"R","P"),IF(AND('Actividades'!$M21&gt;0,'Actividades'!$M21&lt;=R$9+6,'Actividades'!$N21&gt;=R$9),"H",""))</x:f>
        <x:v>R</x:v>
      </x:c>
      <x:c r="S29" s="27" t="str">
        <x:f>IF(AND(ISNUMBER($F29),ISNUMBER($G29),$F29&lt;=S$9+6,$G29&gt;=S$9),IF('Actividades'!$M21&gt;0,"R","P"),IF(AND('Actividades'!$M21&gt;0,'Actividades'!$M21&lt;=S$9+6,'Actividades'!$N21&gt;=S$9),"H",""))</x:f>
      </x:c>
      <x:c r="T29" s="27" t="str">
        <x:f>IF(AND(ISNUMBER($F29),ISNUMBER($G29),$F29&lt;=T$9+6,$G29&gt;=T$9),IF('Actividades'!$M21&gt;0,"R","P"),IF(AND('Actividades'!$M21&gt;0,'Actividades'!$M21&lt;=T$9+6,'Actividades'!$N21&gt;=T$9),"H",""))</x:f>
      </x:c>
      <x:c r="U29" s="27" t="str">
        <x:f>IF(AND(ISNUMBER($F29),ISNUMBER($G29),$F29&lt;=U$9+6,$G29&gt;=U$9),IF('Actividades'!$M21&gt;0,"R","P"),IF(AND('Actividades'!$M21&gt;0,'Actividades'!$M21&lt;=U$9+6,'Actividades'!$N21&gt;=U$9),"H",""))</x:f>
      </x:c>
      <x:c r="V29" s="27" t="str">
        <x:f>IF(AND(ISNUMBER($F29),ISNUMBER($G29),$F29&lt;=V$9+6,$G29&gt;=V$9),IF('Actividades'!$M21&gt;0,"R","P"),IF(AND('Actividades'!$M21&gt;0,'Actividades'!$M21&lt;=V$9+6,'Actividades'!$N21&gt;=V$9),"H",""))</x:f>
      </x:c>
      <x:c r="W29" s="27" t="str">
        <x:f>IF(AND(ISNUMBER($F29),ISNUMBER($G29),$F29&lt;=W$9+6,$G29&gt;=W$9),IF('Actividades'!$M21&gt;0,"R","P"),IF(AND('Actividades'!$M21&gt;0,'Actividades'!$M21&lt;=W$9+6,'Actividades'!$N21&gt;=W$9),"H",""))</x:f>
      </x:c>
      <x:c r="X29" s="27" t="str">
        <x:f>IF(AND(ISNUMBER($F29),ISNUMBER($G29),$F29&lt;=X$9+6,$G29&gt;=X$9),IF('Actividades'!$M21&gt;0,"R","P"),IF(AND('Actividades'!$M21&gt;0,'Actividades'!$M21&lt;=X$9+6,'Actividades'!$N21&gt;=X$9),"H",""))</x:f>
      </x:c>
      <x:c r="Y29" s="27" t="str">
        <x:f>IF(AND(ISNUMBER($F29),ISNUMBER($G29),$F29&lt;=Y$9+6,$G29&gt;=Y$9),IF('Actividades'!$M21&gt;0,"R","P"),IF(AND('Actividades'!$M21&gt;0,'Actividades'!$M21&lt;=Y$9+6,'Actividades'!$N21&gt;=Y$9),"H",""))</x:f>
      </x:c>
      <x:c r="Z29" s="27" t="str">
        <x:f>IF(AND(ISNUMBER($F29),ISNUMBER($G29),$F29&lt;=Z$9+6,$G29&gt;=Z$9),IF('Actividades'!$M21&gt;0,"R","P"),IF(AND('Actividades'!$M21&gt;0,'Actividades'!$M21&lt;=Z$9+6,'Actividades'!$N21&gt;=Z$9),"H",""))</x:f>
      </x:c>
    </x:row>
    <x:row r="30" ht="42" customHeight="1">
      <x:c r="A30" s="21" t="str">
        <x:f>IF('Actividades'!B22="",'Actividades'!A22,'Actividades'!B22)</x:f>
        <x:v>SCRUM-26</x:v>
      </x:c>
      <x:c r="B30" s="21" t="str">
        <x:f>'Actividades'!C22</x:f>
        <x:v>Entorno Docker reproducible</x:v>
      </x:c>
      <x:c r="C30" s="21" t="str">
        <x:f>IF('Actividades'!E22="No aplica","Propuesta",'Actividades'!E22)</x:f>
        <x:v>En revisión</x:v>
      </x:c>
      <x:c r="D30" s="21" t="str">
        <x:f>'Actividades'!H22</x:f>
        <x:v>Implementado</x:v>
      </x:c>
      <x:c r="E30" s="21" t="n">
        <x:f>IF('Actividades'!F22="","",'Actividades'!F22)</x:f>
        <x:v>5</x:v>
      </x:c>
      <x:c r="F30" s="24" t="n">
        <x:f>IF('Actividades'!O22="","",'Actividades'!O22)</x:f>
        <x:v>46310</x:v>
      </x:c>
      <x:c r="G30" s="24" t="n">
        <x:f>IF('Actividades'!P22="","",'Actividades'!P22)</x:f>
        <x:v>46312</x:v>
      </x:c>
      <x:c r="H30" s="2"/>
      <x:c r="I30" s="27" t="str">
        <x:f>IF(AND(ISNUMBER($F30),ISNUMBER($G30),$F30&lt;=I$9+6,$G30&gt;=I$9),IF('Actividades'!$M22&gt;0,"R","P"),IF(AND('Actividades'!$M22&gt;0,'Actividades'!$M22&lt;=I$9+6,'Actividades'!$N22&gt;=I$9),"H",""))</x:f>
      </x:c>
      <x:c r="J30" s="27" t="str">
        <x:f>IF(AND(ISNUMBER($F30),ISNUMBER($G30),$F30&lt;=J$9+6,$G30&gt;=J$9),IF('Actividades'!$M22&gt;0,"R","P"),IF(AND('Actividades'!$M22&gt;0,'Actividades'!$M22&lt;=J$9+6,'Actividades'!$N22&gt;=J$9),"H",""))</x:f>
      </x:c>
      <x:c r="K30" s="27" t="str">
        <x:f>IF(AND(ISNUMBER($F30),ISNUMBER($G30),$F30&lt;=K$9+6,$G30&gt;=K$9),IF('Actividades'!$M22&gt;0,"R","P"),IF(AND('Actividades'!$M22&gt;0,'Actividades'!$M22&lt;=K$9+6,'Actividades'!$N22&gt;=K$9),"H",""))</x:f>
      </x:c>
      <x:c r="L30" s="27" t="str">
        <x:f>IF(AND(ISNUMBER($F30),ISNUMBER($G30),$F30&lt;=L$9+6,$G30&gt;=L$9),IF('Actividades'!$M22&gt;0,"R","P"),IF(AND('Actividades'!$M22&gt;0,'Actividades'!$M22&lt;=L$9+6,'Actividades'!$N22&gt;=L$9),"H",""))</x:f>
      </x:c>
      <x:c r="M30" s="27" t="str">
        <x:f>IF(AND(ISNUMBER($F30),ISNUMBER($G30),$F30&lt;=M$9+6,$G30&gt;=M$9),IF('Actividades'!$M22&gt;0,"R","P"),IF(AND('Actividades'!$M22&gt;0,'Actividades'!$M22&lt;=M$9+6,'Actividades'!$N22&gt;=M$9),"H",""))</x:f>
        <x:v>H</x:v>
      </x:c>
      <x:c r="N30" s="27" t="str">
        <x:f>IF(AND(ISNUMBER($F30),ISNUMBER($G30),$F30&lt;=N$9+6,$G30&gt;=N$9),IF('Actividades'!$M22&gt;0,"R","P"),IF(AND('Actividades'!$M22&gt;0,'Actividades'!$M22&lt;=N$9+6,'Actividades'!$N22&gt;=N$9),"H",""))</x:f>
        <x:v>H</x:v>
      </x:c>
      <x:c r="O30" s="27" t="str">
        <x:f>IF(AND(ISNUMBER($F30),ISNUMBER($G30),$F30&lt;=O$9+6,$G30&gt;=O$9),IF('Actividades'!$M22&gt;0,"R","P"),IF(AND('Actividades'!$M22&gt;0,'Actividades'!$M22&lt;=O$9+6,'Actividades'!$N22&gt;=O$9),"H",""))</x:f>
      </x:c>
      <x:c r="P30" s="27" t="str">
        <x:f>IF(AND(ISNUMBER($F30),ISNUMBER($G30),$F30&lt;=P$9+6,$G30&gt;=P$9),IF('Actividades'!$M22&gt;0,"R","P"),IF(AND('Actividades'!$M22&gt;0,'Actividades'!$M22&lt;=P$9+6,'Actividades'!$N22&gt;=P$9),"H",""))</x:f>
      </x:c>
      <x:c r="Q30" s="27" t="str">
        <x:f>IF(AND(ISNUMBER($F30),ISNUMBER($G30),$F30&lt;=Q$9+6,$G30&gt;=Q$9),IF('Actividades'!$M22&gt;0,"R","P"),IF(AND('Actividades'!$M22&gt;0,'Actividades'!$M22&lt;=Q$9+6,'Actividades'!$N22&gt;=Q$9),"H",""))</x:f>
      </x:c>
      <x:c r="R30" s="27" t="str">
        <x:f>IF(AND(ISNUMBER($F30),ISNUMBER($G30),$F30&lt;=R$9+6,$G30&gt;=R$9),IF('Actividades'!$M22&gt;0,"R","P"),IF(AND('Actividades'!$M22&gt;0,'Actividades'!$M22&lt;=R$9+6,'Actividades'!$N22&gt;=R$9),"H",""))</x:f>
        <x:v>R</x:v>
      </x:c>
      <x:c r="S30" s="27" t="str">
        <x:f>IF(AND(ISNUMBER($F30),ISNUMBER($G30),$F30&lt;=S$9+6,$G30&gt;=S$9),IF('Actividades'!$M22&gt;0,"R","P"),IF(AND('Actividades'!$M22&gt;0,'Actividades'!$M22&lt;=S$9+6,'Actividades'!$N22&gt;=S$9),"H",""))</x:f>
      </x:c>
      <x:c r="T30" s="27" t="str">
        <x:f>IF(AND(ISNUMBER($F30),ISNUMBER($G30),$F30&lt;=T$9+6,$G30&gt;=T$9),IF('Actividades'!$M22&gt;0,"R","P"),IF(AND('Actividades'!$M22&gt;0,'Actividades'!$M22&lt;=T$9+6,'Actividades'!$N22&gt;=T$9),"H",""))</x:f>
      </x:c>
      <x:c r="U30" s="27" t="str">
        <x:f>IF(AND(ISNUMBER($F30),ISNUMBER($G30),$F30&lt;=U$9+6,$G30&gt;=U$9),IF('Actividades'!$M22&gt;0,"R","P"),IF(AND('Actividades'!$M22&gt;0,'Actividades'!$M22&lt;=U$9+6,'Actividades'!$N22&gt;=U$9),"H",""))</x:f>
      </x:c>
      <x:c r="V30" s="27" t="str">
        <x:f>IF(AND(ISNUMBER($F30),ISNUMBER($G30),$F30&lt;=V$9+6,$G30&gt;=V$9),IF('Actividades'!$M22&gt;0,"R","P"),IF(AND('Actividades'!$M22&gt;0,'Actividades'!$M22&lt;=V$9+6,'Actividades'!$N22&gt;=V$9),"H",""))</x:f>
      </x:c>
      <x:c r="W30" s="27" t="str">
        <x:f>IF(AND(ISNUMBER($F30),ISNUMBER($G30),$F30&lt;=W$9+6,$G30&gt;=W$9),IF('Actividades'!$M22&gt;0,"R","P"),IF(AND('Actividades'!$M22&gt;0,'Actividades'!$M22&lt;=W$9+6,'Actividades'!$N22&gt;=W$9),"H",""))</x:f>
      </x:c>
      <x:c r="X30" s="27" t="str">
        <x:f>IF(AND(ISNUMBER($F30),ISNUMBER($G30),$F30&lt;=X$9+6,$G30&gt;=X$9),IF('Actividades'!$M22&gt;0,"R","P"),IF(AND('Actividades'!$M22&gt;0,'Actividades'!$M22&lt;=X$9+6,'Actividades'!$N22&gt;=X$9),"H",""))</x:f>
      </x:c>
      <x:c r="Y30" s="27" t="str">
        <x:f>IF(AND(ISNUMBER($F30),ISNUMBER($G30),$F30&lt;=Y$9+6,$G30&gt;=Y$9),IF('Actividades'!$M22&gt;0,"R","P"),IF(AND('Actividades'!$M22&gt;0,'Actividades'!$M22&lt;=Y$9+6,'Actividades'!$N22&gt;=Y$9),"H",""))</x:f>
      </x:c>
      <x:c r="Z30" s="27" t="str">
        <x:f>IF(AND(ISNUMBER($F30),ISNUMBER($G30),$F30&lt;=Z$9+6,$G30&gt;=Z$9),IF('Actividades'!$M22&gt;0,"R","P"),IF(AND('Actividades'!$M22&gt;0,'Actividades'!$M22&lt;=Z$9+6,'Actividades'!$N22&gt;=Z$9),"H",""))</x:f>
      </x:c>
    </x:row>
    <x:row r="31">
      <x:c r="A31" s="2"/>
      <x:c r="B31" s="2"/>
      <x:c r="C31" s="2"/>
      <x:c r="D31" s="2"/>
      <x:c r="E31" s="2"/>
      <x:c r="F31" s="25"/>
      <x:c r="G31" s="25"/>
      <x:c r="H31" s="2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24" customHeight="1">
      <x:c r="A32" s="7" t="str">
        <x:v>Sprint 3</x:v>
      </x:c>
      <x:c r="B32" s="7"/>
      <x:c r="C32" s="7"/>
      <x:c r="D32" s="7"/>
      <x:c r="E32" s="7" t="n">
        <x:f>SUMIFS('Actividades'!$F$7:$F$51,'Actividades'!$G$7:$G$51,A32)</x:f>
        <x:v>29</x:v>
      </x:c>
      <x:c r="F32" s="22"/>
      <x:c r="G32" s="22"/>
      <x:c r="H32" s="7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42" customHeight="1">
      <x:c r="A33" s="10" t="str">
        <x:f>IF('Actividades'!B23="",'Actividades'!A23,'Actividades'!B23)</x:f>
        <x:v>SCRUM-23</x:v>
      </x:c>
      <x:c r="B33" s="10" t="str">
        <x:f>'Actividades'!C23</x:f>
        <x:v>Autenticación segura</x:v>
      </x:c>
      <x:c r="C33" s="10" t="str">
        <x:f>IF('Actividades'!E23="No aplica","Propuesta",'Actividades'!E23)</x:f>
        <x:v>En revisión</x:v>
      </x:c>
      <x:c r="D33" s="10" t="str">
        <x:f>'Actividades'!H23</x:f>
        <x:v>Implementado</x:v>
      </x:c>
      <x:c r="E33" s="10" t="n">
        <x:f>IF('Actividades'!F23="","",'Actividades'!F23)</x:f>
        <x:v>8</x:v>
      </x:c>
      <x:c r="F33" s="23" t="n">
        <x:f>IF('Actividades'!O23="","",'Actividades'!O23)</x:f>
        <x:v>46310</x:v>
      </x:c>
      <x:c r="G33" s="23" t="n">
        <x:f>IF('Actividades'!P23="","",'Actividades'!P23)</x:f>
        <x:v>46312</x:v>
      </x:c>
      <x:c r="H33" s="2"/>
      <x:c r="I33" s="27" t="str">
        <x:f>IF(AND(ISNUMBER($F33),ISNUMBER($G33),$F33&lt;=I$9+6,$G33&gt;=I$9),IF('Actividades'!$M23&gt;0,"R","P"),IF(AND('Actividades'!$M23&gt;0,'Actividades'!$M23&lt;=I$9+6,'Actividades'!$N23&gt;=I$9),"H",""))</x:f>
      </x:c>
      <x:c r="J33" s="27" t="str">
        <x:f>IF(AND(ISNUMBER($F33),ISNUMBER($G33),$F33&lt;=J$9+6,$G33&gt;=J$9),IF('Actividades'!$M23&gt;0,"R","P"),IF(AND('Actividades'!$M23&gt;0,'Actividades'!$M23&lt;=J$9+6,'Actividades'!$N23&gt;=J$9),"H",""))</x:f>
      </x:c>
      <x:c r="K33" s="27" t="str">
        <x:f>IF(AND(ISNUMBER($F33),ISNUMBER($G33),$F33&lt;=K$9+6,$G33&gt;=K$9),IF('Actividades'!$M23&gt;0,"R","P"),IF(AND('Actividades'!$M23&gt;0,'Actividades'!$M23&lt;=K$9+6,'Actividades'!$N23&gt;=K$9),"H",""))</x:f>
      </x:c>
      <x:c r="L33" s="27" t="str">
        <x:f>IF(AND(ISNUMBER($F33),ISNUMBER($G33),$F33&lt;=L$9+6,$G33&gt;=L$9),IF('Actividades'!$M23&gt;0,"R","P"),IF(AND('Actividades'!$M23&gt;0,'Actividades'!$M23&lt;=L$9+6,'Actividades'!$N23&gt;=L$9),"H",""))</x:f>
      </x:c>
      <x:c r="M33" s="27" t="str">
        <x:f>IF(AND(ISNUMBER($F33),ISNUMBER($G33),$F33&lt;=M$9+6,$G33&gt;=M$9),IF('Actividades'!$M23&gt;0,"R","P"),IF(AND('Actividades'!$M23&gt;0,'Actividades'!$M23&lt;=M$9+6,'Actividades'!$N23&gt;=M$9),"H",""))</x:f>
      </x:c>
      <x:c r="N33" s="27" t="str">
        <x:f>IF(AND(ISNUMBER($F33),ISNUMBER($G33),$F33&lt;=N$9+6,$G33&gt;=N$9),IF('Actividades'!$M23&gt;0,"R","P"),IF(AND('Actividades'!$M23&gt;0,'Actividades'!$M23&lt;=N$9+6,'Actividades'!$N23&gt;=N$9),"H",""))</x:f>
      </x:c>
      <x:c r="O33" s="27" t="str">
        <x:f>IF(AND(ISNUMBER($F33),ISNUMBER($G33),$F33&lt;=O$9+6,$G33&gt;=O$9),IF('Actividades'!$M23&gt;0,"R","P"),IF(AND('Actividades'!$M23&gt;0,'Actividades'!$M23&lt;=O$9+6,'Actividades'!$N23&gt;=O$9),"H",""))</x:f>
        <x:v>H</x:v>
      </x:c>
      <x:c r="P33" s="27" t="str">
        <x:f>IF(AND(ISNUMBER($F33),ISNUMBER($G33),$F33&lt;=P$9+6,$G33&gt;=P$9),IF('Actividades'!$M23&gt;0,"R","P"),IF(AND('Actividades'!$M23&gt;0,'Actividades'!$M23&lt;=P$9+6,'Actividades'!$N23&gt;=P$9),"H",""))</x:f>
        <x:v>H</x:v>
      </x:c>
      <x:c r="Q33" s="27" t="str">
        <x:f>IF(AND(ISNUMBER($F33),ISNUMBER($G33),$F33&lt;=Q$9+6,$G33&gt;=Q$9),IF('Actividades'!$M23&gt;0,"R","P"),IF(AND('Actividades'!$M23&gt;0,'Actividades'!$M23&lt;=Q$9+6,'Actividades'!$N23&gt;=Q$9),"H",""))</x:f>
        <x:v>H</x:v>
      </x:c>
      <x:c r="R33" s="27" t="str">
        <x:f>IF(AND(ISNUMBER($F33),ISNUMBER($G33),$F33&lt;=R$9+6,$G33&gt;=R$9),IF('Actividades'!$M23&gt;0,"R","P"),IF(AND('Actividades'!$M23&gt;0,'Actividades'!$M23&lt;=R$9+6,'Actividades'!$N23&gt;=R$9),"H",""))</x:f>
        <x:v>R</x:v>
      </x:c>
      <x:c r="S33" s="27" t="str">
        <x:f>IF(AND(ISNUMBER($F33),ISNUMBER($G33),$F33&lt;=S$9+6,$G33&gt;=S$9),IF('Actividades'!$M23&gt;0,"R","P"),IF(AND('Actividades'!$M23&gt;0,'Actividades'!$M23&lt;=S$9+6,'Actividades'!$N23&gt;=S$9),"H",""))</x:f>
      </x:c>
      <x:c r="T33" s="27" t="str">
        <x:f>IF(AND(ISNUMBER($F33),ISNUMBER($G33),$F33&lt;=T$9+6,$G33&gt;=T$9),IF('Actividades'!$M23&gt;0,"R","P"),IF(AND('Actividades'!$M23&gt;0,'Actividades'!$M23&lt;=T$9+6,'Actividades'!$N23&gt;=T$9),"H",""))</x:f>
      </x:c>
      <x:c r="U33" s="27" t="str">
        <x:f>IF(AND(ISNUMBER($F33),ISNUMBER($G33),$F33&lt;=U$9+6,$G33&gt;=U$9),IF('Actividades'!$M23&gt;0,"R","P"),IF(AND('Actividades'!$M23&gt;0,'Actividades'!$M23&lt;=U$9+6,'Actividades'!$N23&gt;=U$9),"H",""))</x:f>
      </x:c>
      <x:c r="V33" s="27" t="str">
        <x:f>IF(AND(ISNUMBER($F33),ISNUMBER($G33),$F33&lt;=V$9+6,$G33&gt;=V$9),IF('Actividades'!$M23&gt;0,"R","P"),IF(AND('Actividades'!$M23&gt;0,'Actividades'!$M23&lt;=V$9+6,'Actividades'!$N23&gt;=V$9),"H",""))</x:f>
      </x:c>
      <x:c r="W33" s="27" t="str">
        <x:f>IF(AND(ISNUMBER($F33),ISNUMBER($G33),$F33&lt;=W$9+6,$G33&gt;=W$9),IF('Actividades'!$M23&gt;0,"R","P"),IF(AND('Actividades'!$M23&gt;0,'Actividades'!$M23&lt;=W$9+6,'Actividades'!$N23&gt;=W$9),"H",""))</x:f>
      </x:c>
      <x:c r="X33" s="27" t="str">
        <x:f>IF(AND(ISNUMBER($F33),ISNUMBER($G33),$F33&lt;=X$9+6,$G33&gt;=X$9),IF('Actividades'!$M23&gt;0,"R","P"),IF(AND('Actividades'!$M23&gt;0,'Actividades'!$M23&lt;=X$9+6,'Actividades'!$N23&gt;=X$9),"H",""))</x:f>
      </x:c>
      <x:c r="Y33" s="27" t="str">
        <x:f>IF(AND(ISNUMBER($F33),ISNUMBER($G33),$F33&lt;=Y$9+6,$G33&gt;=Y$9),IF('Actividades'!$M23&gt;0,"R","P"),IF(AND('Actividades'!$M23&gt;0,'Actividades'!$M23&lt;=Y$9+6,'Actividades'!$N23&gt;=Y$9),"H",""))</x:f>
      </x:c>
      <x:c r="Z33" s="27" t="str">
        <x:f>IF(AND(ISNUMBER($F33),ISNUMBER($G33),$F33&lt;=Z$9+6,$G33&gt;=Z$9),IF('Actividades'!$M23&gt;0,"R","P"),IF(AND('Actividades'!$M23&gt;0,'Actividades'!$M23&lt;=Z$9+6,'Actividades'!$N23&gt;=Z$9),"H",""))</x:f>
      </x:c>
    </x:row>
    <x:row r="34" ht="42" customHeight="1">
      <x:c r="A34" s="21" t="str">
        <x:f>IF('Actividades'!B24="",'Actividades'!A24,'Actividades'!B24)</x:f>
        <x:v>SCRUM-24</x:v>
      </x:c>
      <x:c r="B34" s="21" t="str">
        <x:f>'Actividades'!C24</x:f>
        <x:v>Roles y permisos</x:v>
      </x:c>
      <x:c r="C34" s="21" t="str">
        <x:f>IF('Actividades'!E24="No aplica","Propuesta",'Actividades'!E24)</x:f>
        <x:v>En revisión</x:v>
      </x:c>
      <x:c r="D34" s="21" t="str">
        <x:f>'Actividades'!H24</x:f>
        <x:v>Implementado</x:v>
      </x:c>
      <x:c r="E34" s="21" t="n">
        <x:f>IF('Actividades'!F24="","",'Actividades'!F24)</x:f>
        <x:v>8</x:v>
      </x:c>
      <x:c r="F34" s="24" t="n">
        <x:f>IF('Actividades'!O24="","",'Actividades'!O24)</x:f>
        <x:v>46310</x:v>
      </x:c>
      <x:c r="G34" s="24" t="n">
        <x:f>IF('Actividades'!P24="","",'Actividades'!P24)</x:f>
        <x:v>46312</x:v>
      </x:c>
      <x:c r="H34" s="2"/>
      <x:c r="I34" s="27" t="str">
        <x:f>IF(AND(ISNUMBER($F34),ISNUMBER($G34),$F34&lt;=I$9+6,$G34&gt;=I$9),IF('Actividades'!$M24&gt;0,"R","P"),IF(AND('Actividades'!$M24&gt;0,'Actividades'!$M24&lt;=I$9+6,'Actividades'!$N24&gt;=I$9),"H",""))</x:f>
      </x:c>
      <x:c r="J34" s="27" t="str">
        <x:f>IF(AND(ISNUMBER($F34),ISNUMBER($G34),$F34&lt;=J$9+6,$G34&gt;=J$9),IF('Actividades'!$M24&gt;0,"R","P"),IF(AND('Actividades'!$M24&gt;0,'Actividades'!$M24&lt;=J$9+6,'Actividades'!$N24&gt;=J$9),"H",""))</x:f>
      </x:c>
      <x:c r="K34" s="27" t="str">
        <x:f>IF(AND(ISNUMBER($F34),ISNUMBER($G34),$F34&lt;=K$9+6,$G34&gt;=K$9),IF('Actividades'!$M24&gt;0,"R","P"),IF(AND('Actividades'!$M24&gt;0,'Actividades'!$M24&lt;=K$9+6,'Actividades'!$N24&gt;=K$9),"H",""))</x:f>
      </x:c>
      <x:c r="L34" s="27" t="str">
        <x:f>IF(AND(ISNUMBER($F34),ISNUMBER($G34),$F34&lt;=L$9+6,$G34&gt;=L$9),IF('Actividades'!$M24&gt;0,"R","P"),IF(AND('Actividades'!$M24&gt;0,'Actividades'!$M24&lt;=L$9+6,'Actividades'!$N24&gt;=L$9),"H",""))</x:f>
      </x:c>
      <x:c r="M34" s="27" t="str">
        <x:f>IF(AND(ISNUMBER($F34),ISNUMBER($G34),$F34&lt;=M$9+6,$G34&gt;=M$9),IF('Actividades'!$M24&gt;0,"R","P"),IF(AND('Actividades'!$M24&gt;0,'Actividades'!$M24&lt;=M$9+6,'Actividades'!$N24&gt;=M$9),"H",""))</x:f>
      </x:c>
      <x:c r="N34" s="27" t="str">
        <x:f>IF(AND(ISNUMBER($F34),ISNUMBER($G34),$F34&lt;=N$9+6,$G34&gt;=N$9),IF('Actividades'!$M24&gt;0,"R","P"),IF(AND('Actividades'!$M24&gt;0,'Actividades'!$M24&lt;=N$9+6,'Actividades'!$N24&gt;=N$9),"H",""))</x:f>
      </x:c>
      <x:c r="O34" s="27" t="str">
        <x:f>IF(AND(ISNUMBER($F34),ISNUMBER($G34),$F34&lt;=O$9+6,$G34&gt;=O$9),IF('Actividades'!$M24&gt;0,"R","P"),IF(AND('Actividades'!$M24&gt;0,'Actividades'!$M24&lt;=O$9+6,'Actividades'!$N24&gt;=O$9),"H",""))</x:f>
        <x:v>H</x:v>
      </x:c>
      <x:c r="P34" s="27" t="str">
        <x:f>IF(AND(ISNUMBER($F34),ISNUMBER($G34),$F34&lt;=P$9+6,$G34&gt;=P$9),IF('Actividades'!$M24&gt;0,"R","P"),IF(AND('Actividades'!$M24&gt;0,'Actividades'!$M24&lt;=P$9+6,'Actividades'!$N24&gt;=P$9),"H",""))</x:f>
        <x:v>H</x:v>
      </x:c>
      <x:c r="Q34" s="27" t="str">
        <x:f>IF(AND(ISNUMBER($F34),ISNUMBER($G34),$F34&lt;=Q$9+6,$G34&gt;=Q$9),IF('Actividades'!$M24&gt;0,"R","P"),IF(AND('Actividades'!$M24&gt;0,'Actividades'!$M24&lt;=Q$9+6,'Actividades'!$N24&gt;=Q$9),"H",""))</x:f>
        <x:v>H</x:v>
      </x:c>
      <x:c r="R34" s="27" t="str">
        <x:f>IF(AND(ISNUMBER($F34),ISNUMBER($G34),$F34&lt;=R$9+6,$G34&gt;=R$9),IF('Actividades'!$M24&gt;0,"R","P"),IF(AND('Actividades'!$M24&gt;0,'Actividades'!$M24&lt;=R$9+6,'Actividades'!$N24&gt;=R$9),"H",""))</x:f>
        <x:v>R</x:v>
      </x:c>
      <x:c r="S34" s="27" t="str">
        <x:f>IF(AND(ISNUMBER($F34),ISNUMBER($G34),$F34&lt;=S$9+6,$G34&gt;=S$9),IF('Actividades'!$M24&gt;0,"R","P"),IF(AND('Actividades'!$M24&gt;0,'Actividades'!$M24&lt;=S$9+6,'Actividades'!$N24&gt;=S$9),"H",""))</x:f>
      </x:c>
      <x:c r="T34" s="27" t="str">
        <x:f>IF(AND(ISNUMBER($F34),ISNUMBER($G34),$F34&lt;=T$9+6,$G34&gt;=T$9),IF('Actividades'!$M24&gt;0,"R","P"),IF(AND('Actividades'!$M24&gt;0,'Actividades'!$M24&lt;=T$9+6,'Actividades'!$N24&gt;=T$9),"H",""))</x:f>
      </x:c>
      <x:c r="U34" s="27" t="str">
        <x:f>IF(AND(ISNUMBER($F34),ISNUMBER($G34),$F34&lt;=U$9+6,$G34&gt;=U$9),IF('Actividades'!$M24&gt;0,"R","P"),IF(AND('Actividades'!$M24&gt;0,'Actividades'!$M24&lt;=U$9+6,'Actividades'!$N24&gt;=U$9),"H",""))</x:f>
      </x:c>
      <x:c r="V34" s="27" t="str">
        <x:f>IF(AND(ISNUMBER($F34),ISNUMBER($G34),$F34&lt;=V$9+6,$G34&gt;=V$9),IF('Actividades'!$M24&gt;0,"R","P"),IF(AND('Actividades'!$M24&gt;0,'Actividades'!$M24&lt;=V$9+6,'Actividades'!$N24&gt;=V$9),"H",""))</x:f>
      </x:c>
      <x:c r="W34" s="27" t="str">
        <x:f>IF(AND(ISNUMBER($F34),ISNUMBER($G34),$F34&lt;=W$9+6,$G34&gt;=W$9),IF('Actividades'!$M24&gt;0,"R","P"),IF(AND('Actividades'!$M24&gt;0,'Actividades'!$M24&lt;=W$9+6,'Actividades'!$N24&gt;=W$9),"H",""))</x:f>
      </x:c>
      <x:c r="X34" s="27" t="str">
        <x:f>IF(AND(ISNUMBER($F34),ISNUMBER($G34),$F34&lt;=X$9+6,$G34&gt;=X$9),IF('Actividades'!$M24&gt;0,"R","P"),IF(AND('Actividades'!$M24&gt;0,'Actividades'!$M24&lt;=X$9+6,'Actividades'!$N24&gt;=X$9),"H",""))</x:f>
      </x:c>
      <x:c r="Y34" s="27" t="str">
        <x:f>IF(AND(ISNUMBER($F34),ISNUMBER($G34),$F34&lt;=Y$9+6,$G34&gt;=Y$9),IF('Actividades'!$M24&gt;0,"R","P"),IF(AND('Actividades'!$M24&gt;0,'Actividades'!$M24&lt;=Y$9+6,'Actividades'!$N24&gt;=Y$9),"H",""))</x:f>
      </x:c>
      <x:c r="Z34" s="27" t="str">
        <x:f>IF(AND(ISNUMBER($F34),ISNUMBER($G34),$F34&lt;=Z$9+6,$G34&gt;=Z$9),IF('Actividades'!$M24&gt;0,"R","P"),IF(AND('Actividades'!$M24&gt;0,'Actividades'!$M24&lt;=Z$9+6,'Actividades'!$N24&gt;=Z$9),"H",""))</x:f>
      </x:c>
    </x:row>
    <x:row r="35" ht="42" customHeight="1">
      <x:c r="A35" s="10" t="str">
        <x:f>IF('Actividades'!B25="",'Actividades'!A25,'Actividades'!B25)</x:f>
        <x:v>SCRUM-27</x:v>
      </x:c>
      <x:c r="B35" s="10" t="str">
        <x:f>'Actividades'!C25</x:f>
        <x:v>Gestión de estudiantes</x:v>
      </x:c>
      <x:c r="C35" s="10" t="str">
        <x:f>IF('Actividades'!E25="No aplica","Propuesta",'Actividades'!E25)</x:f>
        <x:v>En revisión</x:v>
      </x:c>
      <x:c r="D35" s="10" t="str">
        <x:f>'Actividades'!H25</x:f>
        <x:v>Implementado</x:v>
      </x:c>
      <x:c r="E35" s="10" t="n">
        <x:f>IF('Actividades'!F25="","",'Actividades'!F25)</x:f>
        <x:v>8</x:v>
      </x:c>
      <x:c r="F35" s="23" t="n">
        <x:f>IF('Actividades'!O25="","",'Actividades'!O25)</x:f>
        <x:v>46310</x:v>
      </x:c>
      <x:c r="G35" s="23" t="n">
        <x:f>IF('Actividades'!P25="","",'Actividades'!P25)</x:f>
        <x:v>46312</x:v>
      </x:c>
      <x:c r="H35" s="2"/>
      <x:c r="I35" s="27" t="str">
        <x:f>IF(AND(ISNUMBER($F35),ISNUMBER($G35),$F35&lt;=I$9+6,$G35&gt;=I$9),IF('Actividades'!$M25&gt;0,"R","P"),IF(AND('Actividades'!$M25&gt;0,'Actividades'!$M25&lt;=I$9+6,'Actividades'!$N25&gt;=I$9),"H",""))</x:f>
      </x:c>
      <x:c r="J35" s="27" t="str">
        <x:f>IF(AND(ISNUMBER($F35),ISNUMBER($G35),$F35&lt;=J$9+6,$G35&gt;=J$9),IF('Actividades'!$M25&gt;0,"R","P"),IF(AND('Actividades'!$M25&gt;0,'Actividades'!$M25&lt;=J$9+6,'Actividades'!$N25&gt;=J$9),"H",""))</x:f>
      </x:c>
      <x:c r="K35" s="27" t="str">
        <x:f>IF(AND(ISNUMBER($F35),ISNUMBER($G35),$F35&lt;=K$9+6,$G35&gt;=K$9),IF('Actividades'!$M25&gt;0,"R","P"),IF(AND('Actividades'!$M25&gt;0,'Actividades'!$M25&lt;=K$9+6,'Actividades'!$N25&gt;=K$9),"H",""))</x:f>
      </x:c>
      <x:c r="L35" s="27" t="str">
        <x:f>IF(AND(ISNUMBER($F35),ISNUMBER($G35),$F35&lt;=L$9+6,$G35&gt;=L$9),IF('Actividades'!$M25&gt;0,"R","P"),IF(AND('Actividades'!$M25&gt;0,'Actividades'!$M25&lt;=L$9+6,'Actividades'!$N25&gt;=L$9),"H",""))</x:f>
      </x:c>
      <x:c r="M35" s="27" t="str">
        <x:f>IF(AND(ISNUMBER($F35),ISNUMBER($G35),$F35&lt;=M$9+6,$G35&gt;=M$9),IF('Actividades'!$M25&gt;0,"R","P"),IF(AND('Actividades'!$M25&gt;0,'Actividades'!$M25&lt;=M$9+6,'Actividades'!$N25&gt;=M$9),"H",""))</x:f>
      </x:c>
      <x:c r="N35" s="27" t="str">
        <x:f>IF(AND(ISNUMBER($F35),ISNUMBER($G35),$F35&lt;=N$9+6,$G35&gt;=N$9),IF('Actividades'!$M25&gt;0,"R","P"),IF(AND('Actividades'!$M25&gt;0,'Actividades'!$M25&lt;=N$9+6,'Actividades'!$N25&gt;=N$9),"H",""))</x:f>
      </x:c>
      <x:c r="O35" s="27" t="str">
        <x:f>IF(AND(ISNUMBER($F35),ISNUMBER($G35),$F35&lt;=O$9+6,$G35&gt;=O$9),IF('Actividades'!$M25&gt;0,"R","P"),IF(AND('Actividades'!$M25&gt;0,'Actividades'!$M25&lt;=O$9+6,'Actividades'!$N25&gt;=O$9),"H",""))</x:f>
        <x:v>H</x:v>
      </x:c>
      <x:c r="P35" s="27" t="str">
        <x:f>IF(AND(ISNUMBER($F35),ISNUMBER($G35),$F35&lt;=P$9+6,$G35&gt;=P$9),IF('Actividades'!$M25&gt;0,"R","P"),IF(AND('Actividades'!$M25&gt;0,'Actividades'!$M25&lt;=P$9+6,'Actividades'!$N25&gt;=P$9),"H",""))</x:f>
        <x:v>H</x:v>
      </x:c>
      <x:c r="Q35" s="27" t="str">
        <x:f>IF(AND(ISNUMBER($F35),ISNUMBER($G35),$F35&lt;=Q$9+6,$G35&gt;=Q$9),IF('Actividades'!$M25&gt;0,"R","P"),IF(AND('Actividades'!$M25&gt;0,'Actividades'!$M25&lt;=Q$9+6,'Actividades'!$N25&gt;=Q$9),"H",""))</x:f>
        <x:v>H</x:v>
      </x:c>
      <x:c r="R35" s="27" t="str">
        <x:f>IF(AND(ISNUMBER($F35),ISNUMBER($G35),$F35&lt;=R$9+6,$G35&gt;=R$9),IF('Actividades'!$M25&gt;0,"R","P"),IF(AND('Actividades'!$M25&gt;0,'Actividades'!$M25&lt;=R$9+6,'Actividades'!$N25&gt;=R$9),"H",""))</x:f>
        <x:v>R</x:v>
      </x:c>
      <x:c r="S35" s="27" t="str">
        <x:f>IF(AND(ISNUMBER($F35),ISNUMBER($G35),$F35&lt;=S$9+6,$G35&gt;=S$9),IF('Actividades'!$M25&gt;0,"R","P"),IF(AND('Actividades'!$M25&gt;0,'Actividades'!$M25&lt;=S$9+6,'Actividades'!$N25&gt;=S$9),"H",""))</x:f>
      </x:c>
      <x:c r="T35" s="27" t="str">
        <x:f>IF(AND(ISNUMBER($F35),ISNUMBER($G35),$F35&lt;=T$9+6,$G35&gt;=T$9),IF('Actividades'!$M25&gt;0,"R","P"),IF(AND('Actividades'!$M25&gt;0,'Actividades'!$M25&lt;=T$9+6,'Actividades'!$N25&gt;=T$9),"H",""))</x:f>
      </x:c>
      <x:c r="U35" s="27" t="str">
        <x:f>IF(AND(ISNUMBER($F35),ISNUMBER($G35),$F35&lt;=U$9+6,$G35&gt;=U$9),IF('Actividades'!$M25&gt;0,"R","P"),IF(AND('Actividades'!$M25&gt;0,'Actividades'!$M25&lt;=U$9+6,'Actividades'!$N25&gt;=U$9),"H",""))</x:f>
      </x:c>
      <x:c r="V35" s="27" t="str">
        <x:f>IF(AND(ISNUMBER($F35),ISNUMBER($G35),$F35&lt;=V$9+6,$G35&gt;=V$9),IF('Actividades'!$M25&gt;0,"R","P"),IF(AND('Actividades'!$M25&gt;0,'Actividades'!$M25&lt;=V$9+6,'Actividades'!$N25&gt;=V$9),"H",""))</x:f>
      </x:c>
      <x:c r="W35" s="27" t="str">
        <x:f>IF(AND(ISNUMBER($F35),ISNUMBER($G35),$F35&lt;=W$9+6,$G35&gt;=W$9),IF('Actividades'!$M25&gt;0,"R","P"),IF(AND('Actividades'!$M25&gt;0,'Actividades'!$M25&lt;=W$9+6,'Actividades'!$N25&gt;=W$9),"H",""))</x:f>
      </x:c>
      <x:c r="X35" s="27" t="str">
        <x:f>IF(AND(ISNUMBER($F35),ISNUMBER($G35),$F35&lt;=X$9+6,$G35&gt;=X$9),IF('Actividades'!$M25&gt;0,"R","P"),IF(AND('Actividades'!$M25&gt;0,'Actividades'!$M25&lt;=X$9+6,'Actividades'!$N25&gt;=X$9),"H",""))</x:f>
      </x:c>
      <x:c r="Y35" s="27" t="str">
        <x:f>IF(AND(ISNUMBER($F35),ISNUMBER($G35),$F35&lt;=Y$9+6,$G35&gt;=Y$9),IF('Actividades'!$M25&gt;0,"R","P"),IF(AND('Actividades'!$M25&gt;0,'Actividades'!$M25&lt;=Y$9+6,'Actividades'!$N25&gt;=Y$9),"H",""))</x:f>
      </x:c>
      <x:c r="Z35" s="27" t="str">
        <x:f>IF(AND(ISNUMBER($F35),ISNUMBER($G35),$F35&lt;=Z$9+6,$G35&gt;=Z$9),IF('Actividades'!$M25&gt;0,"R","P"),IF(AND('Actividades'!$M25&gt;0,'Actividades'!$M25&lt;=Z$9+6,'Actividades'!$N25&gt;=Z$9),"H",""))</x:f>
      </x:c>
    </x:row>
    <x:row r="36" ht="42" customHeight="1">
      <x:c r="A36" s="21" t="str">
        <x:f>IF('Actividades'!B26="",'Actividades'!A26,'Actividades'!B26)</x:f>
        <x:v>SCRUM-28</x:v>
      </x:c>
      <x:c r="B36" s="21" t="str">
        <x:f>'Actividades'!C26</x:f>
        <x:v>Matrículas</x:v>
      </x:c>
      <x:c r="C36" s="21" t="str">
        <x:f>IF('Actividades'!E26="No aplica","Propuesta",'Actividades'!E26)</x:f>
        <x:v>En revisión</x:v>
      </x:c>
      <x:c r="D36" s="21" t="str">
        <x:f>'Actividades'!H26</x:f>
        <x:v>Implementado</x:v>
      </x:c>
      <x:c r="E36" s="21" t="n">
        <x:f>IF('Actividades'!F26="","",'Actividades'!F26)</x:f>
        <x:v>5</x:v>
      </x:c>
      <x:c r="F36" s="24" t="n">
        <x:f>IF('Actividades'!O26="","",'Actividades'!O26)</x:f>
        <x:v>46310</x:v>
      </x:c>
      <x:c r="G36" s="24" t="n">
        <x:f>IF('Actividades'!P26="","",'Actividades'!P26)</x:f>
        <x:v>46312</x:v>
      </x:c>
      <x:c r="H36" s="2"/>
      <x:c r="I36" s="27" t="str">
        <x:f>IF(AND(ISNUMBER($F36),ISNUMBER($G36),$F36&lt;=I$9+6,$G36&gt;=I$9),IF('Actividades'!$M26&gt;0,"R","P"),IF(AND('Actividades'!$M26&gt;0,'Actividades'!$M26&lt;=I$9+6,'Actividades'!$N26&gt;=I$9),"H",""))</x:f>
      </x:c>
      <x:c r="J36" s="27" t="str">
        <x:f>IF(AND(ISNUMBER($F36),ISNUMBER($G36),$F36&lt;=J$9+6,$G36&gt;=J$9),IF('Actividades'!$M26&gt;0,"R","P"),IF(AND('Actividades'!$M26&gt;0,'Actividades'!$M26&lt;=J$9+6,'Actividades'!$N26&gt;=J$9),"H",""))</x:f>
      </x:c>
      <x:c r="K36" s="27" t="str">
        <x:f>IF(AND(ISNUMBER($F36),ISNUMBER($G36),$F36&lt;=K$9+6,$G36&gt;=K$9),IF('Actividades'!$M26&gt;0,"R","P"),IF(AND('Actividades'!$M26&gt;0,'Actividades'!$M26&lt;=K$9+6,'Actividades'!$N26&gt;=K$9),"H",""))</x:f>
      </x:c>
      <x:c r="L36" s="27" t="str">
        <x:f>IF(AND(ISNUMBER($F36),ISNUMBER($G36),$F36&lt;=L$9+6,$G36&gt;=L$9),IF('Actividades'!$M26&gt;0,"R","P"),IF(AND('Actividades'!$M26&gt;0,'Actividades'!$M26&lt;=L$9+6,'Actividades'!$N26&gt;=L$9),"H",""))</x:f>
      </x:c>
      <x:c r="M36" s="27" t="str">
        <x:f>IF(AND(ISNUMBER($F36),ISNUMBER($G36),$F36&lt;=M$9+6,$G36&gt;=M$9),IF('Actividades'!$M26&gt;0,"R","P"),IF(AND('Actividades'!$M26&gt;0,'Actividades'!$M26&lt;=M$9+6,'Actividades'!$N26&gt;=M$9),"H",""))</x:f>
      </x:c>
      <x:c r="N36" s="27" t="str">
        <x:f>IF(AND(ISNUMBER($F36),ISNUMBER($G36),$F36&lt;=N$9+6,$G36&gt;=N$9),IF('Actividades'!$M26&gt;0,"R","P"),IF(AND('Actividades'!$M26&gt;0,'Actividades'!$M26&lt;=N$9+6,'Actividades'!$N26&gt;=N$9),"H",""))</x:f>
      </x:c>
      <x:c r="O36" s="27" t="str">
        <x:f>IF(AND(ISNUMBER($F36),ISNUMBER($G36),$F36&lt;=O$9+6,$G36&gt;=O$9),IF('Actividades'!$M26&gt;0,"R","P"),IF(AND('Actividades'!$M26&gt;0,'Actividades'!$M26&lt;=O$9+6,'Actividades'!$N26&gt;=O$9),"H",""))</x:f>
        <x:v>H</x:v>
      </x:c>
      <x:c r="P36" s="27" t="str">
        <x:f>IF(AND(ISNUMBER($F36),ISNUMBER($G36),$F36&lt;=P$9+6,$G36&gt;=P$9),IF('Actividades'!$M26&gt;0,"R","P"),IF(AND('Actividades'!$M26&gt;0,'Actividades'!$M26&lt;=P$9+6,'Actividades'!$N26&gt;=P$9),"H",""))</x:f>
        <x:v>H</x:v>
      </x:c>
      <x:c r="Q36" s="27" t="str">
        <x:f>IF(AND(ISNUMBER($F36),ISNUMBER($G36),$F36&lt;=Q$9+6,$G36&gt;=Q$9),IF('Actividades'!$M26&gt;0,"R","P"),IF(AND('Actividades'!$M26&gt;0,'Actividades'!$M26&lt;=Q$9+6,'Actividades'!$N26&gt;=Q$9),"H",""))</x:f>
        <x:v>H</x:v>
      </x:c>
      <x:c r="R36" s="27" t="str">
        <x:f>IF(AND(ISNUMBER($F36),ISNUMBER($G36),$F36&lt;=R$9+6,$G36&gt;=R$9),IF('Actividades'!$M26&gt;0,"R","P"),IF(AND('Actividades'!$M26&gt;0,'Actividades'!$M26&lt;=R$9+6,'Actividades'!$N26&gt;=R$9),"H",""))</x:f>
        <x:v>R</x:v>
      </x:c>
      <x:c r="S36" s="27" t="str">
        <x:f>IF(AND(ISNUMBER($F36),ISNUMBER($G36),$F36&lt;=S$9+6,$G36&gt;=S$9),IF('Actividades'!$M26&gt;0,"R","P"),IF(AND('Actividades'!$M26&gt;0,'Actividades'!$M26&lt;=S$9+6,'Actividades'!$N26&gt;=S$9),"H",""))</x:f>
      </x:c>
      <x:c r="T36" s="27" t="str">
        <x:f>IF(AND(ISNUMBER($F36),ISNUMBER($G36),$F36&lt;=T$9+6,$G36&gt;=T$9),IF('Actividades'!$M26&gt;0,"R","P"),IF(AND('Actividades'!$M26&gt;0,'Actividades'!$M26&lt;=T$9+6,'Actividades'!$N26&gt;=T$9),"H",""))</x:f>
      </x:c>
      <x:c r="U36" s="27" t="str">
        <x:f>IF(AND(ISNUMBER($F36),ISNUMBER($G36),$F36&lt;=U$9+6,$G36&gt;=U$9),IF('Actividades'!$M26&gt;0,"R","P"),IF(AND('Actividades'!$M26&gt;0,'Actividades'!$M26&lt;=U$9+6,'Actividades'!$N26&gt;=U$9),"H",""))</x:f>
      </x:c>
      <x:c r="V36" s="27" t="str">
        <x:f>IF(AND(ISNUMBER($F36),ISNUMBER($G36),$F36&lt;=V$9+6,$G36&gt;=V$9),IF('Actividades'!$M26&gt;0,"R","P"),IF(AND('Actividades'!$M26&gt;0,'Actividades'!$M26&lt;=V$9+6,'Actividades'!$N26&gt;=V$9),"H",""))</x:f>
      </x:c>
      <x:c r="W36" s="27" t="str">
        <x:f>IF(AND(ISNUMBER($F36),ISNUMBER($G36),$F36&lt;=W$9+6,$G36&gt;=W$9),IF('Actividades'!$M26&gt;0,"R","P"),IF(AND('Actividades'!$M26&gt;0,'Actividades'!$M26&lt;=W$9+6,'Actividades'!$N26&gt;=W$9),"H",""))</x:f>
      </x:c>
      <x:c r="X36" s="27" t="str">
        <x:f>IF(AND(ISNUMBER($F36),ISNUMBER($G36),$F36&lt;=X$9+6,$G36&gt;=X$9),IF('Actividades'!$M26&gt;0,"R","P"),IF(AND('Actividades'!$M26&gt;0,'Actividades'!$M26&lt;=X$9+6,'Actividades'!$N26&gt;=X$9),"H",""))</x:f>
      </x:c>
      <x:c r="Y36" s="27" t="str">
        <x:f>IF(AND(ISNUMBER($F36),ISNUMBER($G36),$F36&lt;=Y$9+6,$G36&gt;=Y$9),IF('Actividades'!$M26&gt;0,"R","P"),IF(AND('Actividades'!$M26&gt;0,'Actividades'!$M26&lt;=Y$9+6,'Actividades'!$N26&gt;=Y$9),"H",""))</x:f>
      </x:c>
      <x:c r="Z36" s="27" t="str">
        <x:f>IF(AND(ISNUMBER($F36),ISNUMBER($G36),$F36&lt;=Z$9+6,$G36&gt;=Z$9),IF('Actividades'!$M26&gt;0,"R","P"),IF(AND('Actividades'!$M26&gt;0,'Actividades'!$M26&lt;=Z$9+6,'Actividades'!$N26&gt;=Z$9),"H",""))</x:f>
      </x:c>
    </x:row>
    <x:row r="37">
      <x:c r="A37" s="2"/>
      <x:c r="B37" s="2"/>
      <x:c r="C37" s="2"/>
      <x:c r="D37" s="2"/>
      <x:c r="E37" s="2"/>
      <x:c r="F37" s="25"/>
      <x:c r="G37" s="25"/>
      <x:c r="H37" s="2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24" customHeight="1">
      <x:c r="A38" s="7" t="str">
        <x:v>Sprint 4</x:v>
      </x:c>
      <x:c r="B38" s="7"/>
      <x:c r="C38" s="7"/>
      <x:c r="D38" s="7"/>
      <x:c r="E38" s="7" t="n">
        <x:f>SUMIFS('Actividades'!$F$7:$F$51,'Actividades'!$G$7:$G$51,A38)</x:f>
        <x:v>34</x:v>
      </x:c>
      <x:c r="F38" s="22"/>
      <x:c r="G38" s="22"/>
      <x:c r="H38" s="7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42" customHeight="1">
      <x:c r="A39" s="10" t="str">
        <x:f>IF('Actividades'!B27="",'Actividades'!A27,'Actividades'!B27)</x:f>
        <x:v>SCRUM-31</x:v>
      </x:c>
      <x:c r="B39" s="10" t="str">
        <x:f>'Actividades'!C27</x:f>
        <x:v>Registro de asistencia</x:v>
      </x:c>
      <x:c r="C39" s="10" t="str">
        <x:f>IF('Actividades'!E27="No aplica","Propuesta",'Actividades'!E27)</x:f>
        <x:v>En revisión</x:v>
      </x:c>
      <x:c r="D39" s="10" t="str">
        <x:f>'Actividades'!H27</x:f>
        <x:v>Implementado</x:v>
      </x:c>
      <x:c r="E39" s="10" t="n">
        <x:f>IF('Actividades'!F27="","",'Actividades'!F27)</x:f>
        <x:v>8</x:v>
      </x:c>
      <x:c r="F39" s="23" t="n">
        <x:f>IF('Actividades'!O27="","",'Actividades'!O27)</x:f>
        <x:v>46310</x:v>
      </x:c>
      <x:c r="G39" s="23" t="n">
        <x:f>IF('Actividades'!P27="","",'Actividades'!P27)</x:f>
        <x:v>46312</x:v>
      </x:c>
      <x:c r="H39" s="2"/>
      <x:c r="I39" s="27" t="str">
        <x:f>IF(AND(ISNUMBER($F39),ISNUMBER($G39),$F39&lt;=I$9+6,$G39&gt;=I$9),IF('Actividades'!$M27&gt;0,"R","P"),IF(AND('Actividades'!$M27&gt;0,'Actividades'!$M27&lt;=I$9+6,'Actividades'!$N27&gt;=I$9),"H",""))</x:f>
      </x:c>
      <x:c r="J39" s="27" t="str">
        <x:f>IF(AND(ISNUMBER($F39),ISNUMBER($G39),$F39&lt;=J$9+6,$G39&gt;=J$9),IF('Actividades'!$M27&gt;0,"R","P"),IF(AND('Actividades'!$M27&gt;0,'Actividades'!$M27&lt;=J$9+6,'Actividades'!$N27&gt;=J$9),"H",""))</x:f>
      </x:c>
      <x:c r="K39" s="27" t="str">
        <x:f>IF(AND(ISNUMBER($F39),ISNUMBER($G39),$F39&lt;=K$9+6,$G39&gt;=K$9),IF('Actividades'!$M27&gt;0,"R","P"),IF(AND('Actividades'!$M27&gt;0,'Actividades'!$M27&lt;=K$9+6,'Actividades'!$N27&gt;=K$9),"H",""))</x:f>
      </x:c>
      <x:c r="L39" s="27" t="str">
        <x:f>IF(AND(ISNUMBER($F39),ISNUMBER($G39),$F39&lt;=L$9+6,$G39&gt;=L$9),IF('Actividades'!$M27&gt;0,"R","P"),IF(AND('Actividades'!$M27&gt;0,'Actividades'!$M27&lt;=L$9+6,'Actividades'!$N27&gt;=L$9),"H",""))</x:f>
      </x:c>
      <x:c r="M39" s="27" t="str">
        <x:f>IF(AND(ISNUMBER($F39),ISNUMBER($G39),$F39&lt;=M$9+6,$G39&gt;=M$9),IF('Actividades'!$M27&gt;0,"R","P"),IF(AND('Actividades'!$M27&gt;0,'Actividades'!$M27&lt;=M$9+6,'Actividades'!$N27&gt;=M$9),"H",""))</x:f>
      </x:c>
      <x:c r="N39" s="27" t="str">
        <x:f>IF(AND(ISNUMBER($F39),ISNUMBER($G39),$F39&lt;=N$9+6,$G39&gt;=N$9),IF('Actividades'!$M27&gt;0,"R","P"),IF(AND('Actividades'!$M27&gt;0,'Actividades'!$M27&lt;=N$9+6,'Actividades'!$N27&gt;=N$9),"H",""))</x:f>
      </x:c>
      <x:c r="O39" s="27" t="str">
        <x:f>IF(AND(ISNUMBER($F39),ISNUMBER($G39),$F39&lt;=O$9+6,$G39&gt;=O$9),IF('Actividades'!$M27&gt;0,"R","P"),IF(AND('Actividades'!$M27&gt;0,'Actividades'!$M27&lt;=O$9+6,'Actividades'!$N27&gt;=O$9),"H",""))</x:f>
      </x:c>
      <x:c r="P39" s="27" t="str">
        <x:f>IF(AND(ISNUMBER($F39),ISNUMBER($G39),$F39&lt;=P$9+6,$G39&gt;=P$9),IF('Actividades'!$M27&gt;0,"R","P"),IF(AND('Actividades'!$M27&gt;0,'Actividades'!$M27&lt;=P$9+6,'Actividades'!$N27&gt;=P$9),"H",""))</x:f>
      </x:c>
      <x:c r="Q39" s="27" t="str">
        <x:f>IF(AND(ISNUMBER($F39),ISNUMBER($G39),$F39&lt;=Q$9+6,$G39&gt;=Q$9),IF('Actividades'!$M27&gt;0,"R","P"),IF(AND('Actividades'!$M27&gt;0,'Actividades'!$M27&lt;=Q$9+6,'Actividades'!$N27&gt;=Q$9),"H",""))</x:f>
        <x:v>H</x:v>
      </x:c>
      <x:c r="R39" s="27" t="str">
        <x:f>IF(AND(ISNUMBER($F39),ISNUMBER($G39),$F39&lt;=R$9+6,$G39&gt;=R$9),IF('Actividades'!$M27&gt;0,"R","P"),IF(AND('Actividades'!$M27&gt;0,'Actividades'!$M27&lt;=R$9+6,'Actividades'!$N27&gt;=R$9),"H",""))</x:f>
        <x:v>R</x:v>
      </x:c>
      <x:c r="S39" s="27" t="str">
        <x:f>IF(AND(ISNUMBER($F39),ISNUMBER($G39),$F39&lt;=S$9+6,$G39&gt;=S$9),IF('Actividades'!$M27&gt;0,"R","P"),IF(AND('Actividades'!$M27&gt;0,'Actividades'!$M27&lt;=S$9+6,'Actividades'!$N27&gt;=S$9),"H",""))</x:f>
      </x:c>
      <x:c r="T39" s="27" t="str">
        <x:f>IF(AND(ISNUMBER($F39),ISNUMBER($G39),$F39&lt;=T$9+6,$G39&gt;=T$9),IF('Actividades'!$M27&gt;0,"R","P"),IF(AND('Actividades'!$M27&gt;0,'Actividades'!$M27&lt;=T$9+6,'Actividades'!$N27&gt;=T$9),"H",""))</x:f>
      </x:c>
      <x:c r="U39" s="27" t="str">
        <x:f>IF(AND(ISNUMBER($F39),ISNUMBER($G39),$F39&lt;=U$9+6,$G39&gt;=U$9),IF('Actividades'!$M27&gt;0,"R","P"),IF(AND('Actividades'!$M27&gt;0,'Actividades'!$M27&lt;=U$9+6,'Actividades'!$N27&gt;=U$9),"H",""))</x:f>
      </x:c>
      <x:c r="V39" s="27" t="str">
        <x:f>IF(AND(ISNUMBER($F39),ISNUMBER($G39),$F39&lt;=V$9+6,$G39&gt;=V$9),IF('Actividades'!$M27&gt;0,"R","P"),IF(AND('Actividades'!$M27&gt;0,'Actividades'!$M27&lt;=V$9+6,'Actividades'!$N27&gt;=V$9),"H",""))</x:f>
      </x:c>
      <x:c r="W39" s="27" t="str">
        <x:f>IF(AND(ISNUMBER($F39),ISNUMBER($G39),$F39&lt;=W$9+6,$G39&gt;=W$9),IF('Actividades'!$M27&gt;0,"R","P"),IF(AND('Actividades'!$M27&gt;0,'Actividades'!$M27&lt;=W$9+6,'Actividades'!$N27&gt;=W$9),"H",""))</x:f>
      </x:c>
      <x:c r="X39" s="27" t="str">
        <x:f>IF(AND(ISNUMBER($F39),ISNUMBER($G39),$F39&lt;=X$9+6,$G39&gt;=X$9),IF('Actividades'!$M27&gt;0,"R","P"),IF(AND('Actividades'!$M27&gt;0,'Actividades'!$M27&lt;=X$9+6,'Actividades'!$N27&gt;=X$9),"H",""))</x:f>
      </x:c>
      <x:c r="Y39" s="27" t="str">
        <x:f>IF(AND(ISNUMBER($F39),ISNUMBER($G39),$F39&lt;=Y$9+6,$G39&gt;=Y$9),IF('Actividades'!$M27&gt;0,"R","P"),IF(AND('Actividades'!$M27&gt;0,'Actividades'!$M27&lt;=Y$9+6,'Actividades'!$N27&gt;=Y$9),"H",""))</x:f>
      </x:c>
      <x:c r="Z39" s="27" t="str">
        <x:f>IF(AND(ISNUMBER($F39),ISNUMBER($G39),$F39&lt;=Z$9+6,$G39&gt;=Z$9),IF('Actividades'!$M27&gt;0,"R","P"),IF(AND('Actividades'!$M27&gt;0,'Actividades'!$M27&lt;=Z$9+6,'Actividades'!$N27&gt;=Z$9),"H",""))</x:f>
      </x:c>
    </x:row>
    <x:row r="40" ht="42" customHeight="1">
      <x:c r="A40" s="21" t="str">
        <x:f>IF('Actividades'!B28="",'Actividades'!A28,'Actividades'!B28)</x:f>
        <x:v>SCRUM-32</x:v>
      </x:c>
      <x:c r="B40" s="21" t="str">
        <x:f>'Actividades'!C28</x:f>
        <x:v>Tres reglas explicables de alerta</x:v>
      </x:c>
      <x:c r="C40" s="21" t="str">
        <x:f>IF('Actividades'!E28="No aplica","Propuesta",'Actividades'!E28)</x:f>
        <x:v>En revisión</x:v>
      </x:c>
      <x:c r="D40" s="21" t="str">
        <x:f>'Actividades'!H28</x:f>
        <x:v>Implementado</x:v>
      </x:c>
      <x:c r="E40" s="21" t="n">
        <x:f>IF('Actividades'!F28="","",'Actividades'!F28)</x:f>
        <x:v>8</x:v>
      </x:c>
      <x:c r="F40" s="24" t="n">
        <x:f>IF('Actividades'!O28="","",'Actividades'!O28)</x:f>
        <x:v>46314</x:v>
      </x:c>
      <x:c r="G40" s="24" t="n">
        <x:f>IF('Actividades'!P28="","",'Actividades'!P28)</x:f>
        <x:v>46319</x:v>
      </x:c>
      <x:c r="H40" s="2"/>
      <x:c r="I40" s="27" t="str">
        <x:f>IF(AND(ISNUMBER($F40),ISNUMBER($G40),$F40&lt;=I$9+6,$G40&gt;=I$9),IF('Actividades'!$M28&gt;0,"R","P"),IF(AND('Actividades'!$M28&gt;0,'Actividades'!$M28&lt;=I$9+6,'Actividades'!$N28&gt;=I$9),"H",""))</x:f>
      </x:c>
      <x:c r="J40" s="27" t="str">
        <x:f>IF(AND(ISNUMBER($F40),ISNUMBER($G40),$F40&lt;=J$9+6,$G40&gt;=J$9),IF('Actividades'!$M28&gt;0,"R","P"),IF(AND('Actividades'!$M28&gt;0,'Actividades'!$M28&lt;=J$9+6,'Actividades'!$N28&gt;=J$9),"H",""))</x:f>
      </x:c>
      <x:c r="K40" s="27" t="str">
        <x:f>IF(AND(ISNUMBER($F40),ISNUMBER($G40),$F40&lt;=K$9+6,$G40&gt;=K$9),IF('Actividades'!$M28&gt;0,"R","P"),IF(AND('Actividades'!$M28&gt;0,'Actividades'!$M28&lt;=K$9+6,'Actividades'!$N28&gt;=K$9),"H",""))</x:f>
      </x:c>
      <x:c r="L40" s="27" t="str">
        <x:f>IF(AND(ISNUMBER($F40),ISNUMBER($G40),$F40&lt;=L$9+6,$G40&gt;=L$9),IF('Actividades'!$M28&gt;0,"R","P"),IF(AND('Actividades'!$M28&gt;0,'Actividades'!$M28&lt;=L$9+6,'Actividades'!$N28&gt;=L$9),"H",""))</x:f>
      </x:c>
      <x:c r="M40" s="27" t="str">
        <x:f>IF(AND(ISNUMBER($F40),ISNUMBER($G40),$F40&lt;=M$9+6,$G40&gt;=M$9),IF('Actividades'!$M28&gt;0,"R","P"),IF(AND('Actividades'!$M28&gt;0,'Actividades'!$M28&lt;=M$9+6,'Actividades'!$N28&gt;=M$9),"H",""))</x:f>
      </x:c>
      <x:c r="N40" s="27" t="str">
        <x:f>IF(AND(ISNUMBER($F40),ISNUMBER($G40),$F40&lt;=N$9+6,$G40&gt;=N$9),IF('Actividades'!$M28&gt;0,"R","P"),IF(AND('Actividades'!$M28&gt;0,'Actividades'!$M28&lt;=N$9+6,'Actividades'!$N28&gt;=N$9),"H",""))</x:f>
      </x:c>
      <x:c r="O40" s="27" t="str">
        <x:f>IF(AND(ISNUMBER($F40),ISNUMBER($G40),$F40&lt;=O$9+6,$G40&gt;=O$9),IF('Actividades'!$M28&gt;0,"R","P"),IF(AND('Actividades'!$M28&gt;0,'Actividades'!$M28&lt;=O$9+6,'Actividades'!$N28&gt;=O$9),"H",""))</x:f>
      </x:c>
      <x:c r="P40" s="27" t="str">
        <x:f>IF(AND(ISNUMBER($F40),ISNUMBER($G40),$F40&lt;=P$9+6,$G40&gt;=P$9),IF('Actividades'!$M28&gt;0,"R","P"),IF(AND('Actividades'!$M28&gt;0,'Actividades'!$M28&lt;=P$9+6,'Actividades'!$N28&gt;=P$9),"H",""))</x:f>
      </x:c>
      <x:c r="Q40" s="27" t="str">
        <x:f>IF(AND(ISNUMBER($F40),ISNUMBER($G40),$F40&lt;=Q$9+6,$G40&gt;=Q$9),IF('Actividades'!$M28&gt;0,"R","P"),IF(AND('Actividades'!$M28&gt;0,'Actividades'!$M28&lt;=Q$9+6,'Actividades'!$N28&gt;=Q$9),"H",""))</x:f>
        <x:v>H</x:v>
      </x:c>
      <x:c r="R40" s="27" t="str">
        <x:f>IF(AND(ISNUMBER($F40),ISNUMBER($G40),$F40&lt;=R$9+6,$G40&gt;=R$9),IF('Actividades'!$M28&gt;0,"R","P"),IF(AND('Actividades'!$M28&gt;0,'Actividades'!$M28&lt;=R$9+6,'Actividades'!$N28&gt;=R$9),"H",""))</x:f>
        <x:v>H</x:v>
      </x:c>
      <x:c r="S40" s="27" t="str">
        <x:f>IF(AND(ISNUMBER($F40),ISNUMBER($G40),$F40&lt;=S$9+6,$G40&gt;=S$9),IF('Actividades'!$M28&gt;0,"R","P"),IF(AND('Actividades'!$M28&gt;0,'Actividades'!$M28&lt;=S$9+6,'Actividades'!$N28&gt;=S$9),"H",""))</x:f>
        <x:v>R</x:v>
      </x:c>
      <x:c r="T40" s="27" t="str">
        <x:f>IF(AND(ISNUMBER($F40),ISNUMBER($G40),$F40&lt;=T$9+6,$G40&gt;=T$9),IF('Actividades'!$M28&gt;0,"R","P"),IF(AND('Actividades'!$M28&gt;0,'Actividades'!$M28&lt;=T$9+6,'Actividades'!$N28&gt;=T$9),"H",""))</x:f>
      </x:c>
      <x:c r="U40" s="27" t="str">
        <x:f>IF(AND(ISNUMBER($F40),ISNUMBER($G40),$F40&lt;=U$9+6,$G40&gt;=U$9),IF('Actividades'!$M28&gt;0,"R","P"),IF(AND('Actividades'!$M28&gt;0,'Actividades'!$M28&lt;=U$9+6,'Actividades'!$N28&gt;=U$9),"H",""))</x:f>
      </x:c>
      <x:c r="V40" s="27" t="str">
        <x:f>IF(AND(ISNUMBER($F40),ISNUMBER($G40),$F40&lt;=V$9+6,$G40&gt;=V$9),IF('Actividades'!$M28&gt;0,"R","P"),IF(AND('Actividades'!$M28&gt;0,'Actividades'!$M28&lt;=V$9+6,'Actividades'!$N28&gt;=V$9),"H",""))</x:f>
      </x:c>
      <x:c r="W40" s="27" t="str">
        <x:f>IF(AND(ISNUMBER($F40),ISNUMBER($G40),$F40&lt;=W$9+6,$G40&gt;=W$9),IF('Actividades'!$M28&gt;0,"R","P"),IF(AND('Actividades'!$M28&gt;0,'Actividades'!$M28&lt;=W$9+6,'Actividades'!$N28&gt;=W$9),"H",""))</x:f>
      </x:c>
      <x:c r="X40" s="27" t="str">
        <x:f>IF(AND(ISNUMBER($F40),ISNUMBER($G40),$F40&lt;=X$9+6,$G40&gt;=X$9),IF('Actividades'!$M28&gt;0,"R","P"),IF(AND('Actividades'!$M28&gt;0,'Actividades'!$M28&lt;=X$9+6,'Actividades'!$N28&gt;=X$9),"H",""))</x:f>
      </x:c>
      <x:c r="Y40" s="27" t="str">
        <x:f>IF(AND(ISNUMBER($F40),ISNUMBER($G40),$F40&lt;=Y$9+6,$G40&gt;=Y$9),IF('Actividades'!$M28&gt;0,"R","P"),IF(AND('Actividades'!$M28&gt;0,'Actividades'!$M28&lt;=Y$9+6,'Actividades'!$N28&gt;=Y$9),"H",""))</x:f>
      </x:c>
      <x:c r="Z40" s="27" t="str">
        <x:f>IF(AND(ISNUMBER($F40),ISNUMBER($G40),$F40&lt;=Z$9+6,$G40&gt;=Z$9),IF('Actividades'!$M28&gt;0,"R","P"),IF(AND('Actividades'!$M28&gt;0,'Actividades'!$M28&lt;=Z$9+6,'Actividades'!$N28&gt;=Z$9),"H",""))</x:f>
      </x:c>
    </x:row>
    <x:row r="41" ht="42" customHeight="1">
      <x:c r="A41" s="10" t="str">
        <x:f>IF('Actividades'!B29="",'Actividades'!A29,'Actividades'!B29)</x:f>
        <x:v>SCRUM-33</x:v>
      </x:c>
      <x:c r="B41" s="10" t="str">
        <x:f>'Actividades'!C29</x:f>
        <x:v>Bandeja y dashboard inicial de alertas</x:v>
      </x:c>
      <x:c r="C41" s="10" t="str">
        <x:f>IF('Actividades'!E29="No aplica","Propuesta",'Actividades'!E29)</x:f>
        <x:v>En revisión</x:v>
      </x:c>
      <x:c r="D41" s="10" t="str">
        <x:f>'Actividades'!H29</x:f>
        <x:v>Implementado</x:v>
      </x:c>
      <x:c r="E41" s="10" t="n">
        <x:f>IF('Actividades'!F29="","",'Actividades'!F29)</x:f>
        <x:v>8</x:v>
      </x:c>
      <x:c r="F41" s="23" t="n">
        <x:f>IF('Actividades'!O29="","",'Actividades'!O29)</x:f>
        <x:v>46310</x:v>
      </x:c>
      <x:c r="G41" s="23" t="n">
        <x:f>IF('Actividades'!P29="","",'Actividades'!P29)</x:f>
        <x:v>46312</x:v>
      </x:c>
      <x:c r="H41" s="2"/>
      <x:c r="I41" s="27" t="str">
        <x:f>IF(AND(ISNUMBER($F41),ISNUMBER($G41),$F41&lt;=I$9+6,$G41&gt;=I$9),IF('Actividades'!$M29&gt;0,"R","P"),IF(AND('Actividades'!$M29&gt;0,'Actividades'!$M29&lt;=I$9+6,'Actividades'!$N29&gt;=I$9),"H",""))</x:f>
      </x:c>
      <x:c r="J41" s="27" t="str">
        <x:f>IF(AND(ISNUMBER($F41),ISNUMBER($G41),$F41&lt;=J$9+6,$G41&gt;=J$9),IF('Actividades'!$M29&gt;0,"R","P"),IF(AND('Actividades'!$M29&gt;0,'Actividades'!$M29&lt;=J$9+6,'Actividades'!$N29&gt;=J$9),"H",""))</x:f>
      </x:c>
      <x:c r="K41" s="27" t="str">
        <x:f>IF(AND(ISNUMBER($F41),ISNUMBER($G41),$F41&lt;=K$9+6,$G41&gt;=K$9),IF('Actividades'!$M29&gt;0,"R","P"),IF(AND('Actividades'!$M29&gt;0,'Actividades'!$M29&lt;=K$9+6,'Actividades'!$N29&gt;=K$9),"H",""))</x:f>
      </x:c>
      <x:c r="L41" s="27" t="str">
        <x:f>IF(AND(ISNUMBER($F41),ISNUMBER($G41),$F41&lt;=L$9+6,$G41&gt;=L$9),IF('Actividades'!$M29&gt;0,"R","P"),IF(AND('Actividades'!$M29&gt;0,'Actividades'!$M29&lt;=L$9+6,'Actividades'!$N29&gt;=L$9),"H",""))</x:f>
      </x:c>
      <x:c r="M41" s="27" t="str">
        <x:f>IF(AND(ISNUMBER($F41),ISNUMBER($G41),$F41&lt;=M$9+6,$G41&gt;=M$9),IF('Actividades'!$M29&gt;0,"R","P"),IF(AND('Actividades'!$M29&gt;0,'Actividades'!$M29&lt;=M$9+6,'Actividades'!$N29&gt;=M$9),"H",""))</x:f>
      </x:c>
      <x:c r="N41" s="27" t="str">
        <x:f>IF(AND(ISNUMBER($F41),ISNUMBER($G41),$F41&lt;=N$9+6,$G41&gt;=N$9),IF('Actividades'!$M29&gt;0,"R","P"),IF(AND('Actividades'!$M29&gt;0,'Actividades'!$M29&lt;=N$9+6,'Actividades'!$N29&gt;=N$9),"H",""))</x:f>
      </x:c>
      <x:c r="O41" s="27" t="str">
        <x:f>IF(AND(ISNUMBER($F41),ISNUMBER($G41),$F41&lt;=O$9+6,$G41&gt;=O$9),IF('Actividades'!$M29&gt;0,"R","P"),IF(AND('Actividades'!$M29&gt;0,'Actividades'!$M29&lt;=O$9+6,'Actividades'!$N29&gt;=O$9),"H",""))</x:f>
      </x:c>
      <x:c r="P41" s="27" t="str">
        <x:f>IF(AND(ISNUMBER($F41),ISNUMBER($G41),$F41&lt;=P$9+6,$G41&gt;=P$9),IF('Actividades'!$M29&gt;0,"R","P"),IF(AND('Actividades'!$M29&gt;0,'Actividades'!$M29&lt;=P$9+6,'Actividades'!$N29&gt;=P$9),"H",""))</x:f>
      </x:c>
      <x:c r="Q41" s="27" t="str">
        <x:f>IF(AND(ISNUMBER($F41),ISNUMBER($G41),$F41&lt;=Q$9+6,$G41&gt;=Q$9),IF('Actividades'!$M29&gt;0,"R","P"),IF(AND('Actividades'!$M29&gt;0,'Actividades'!$M29&lt;=Q$9+6,'Actividades'!$N29&gt;=Q$9),"H",""))</x:f>
        <x:v>H</x:v>
      </x:c>
      <x:c r="R41" s="27" t="str">
        <x:f>IF(AND(ISNUMBER($F41),ISNUMBER($G41),$F41&lt;=R$9+6,$G41&gt;=R$9),IF('Actividades'!$M29&gt;0,"R","P"),IF(AND('Actividades'!$M29&gt;0,'Actividades'!$M29&lt;=R$9+6,'Actividades'!$N29&gt;=R$9),"H",""))</x:f>
        <x:v>R</x:v>
      </x:c>
      <x:c r="S41" s="27" t="str">
        <x:f>IF(AND(ISNUMBER($F41),ISNUMBER($G41),$F41&lt;=S$9+6,$G41&gt;=S$9),IF('Actividades'!$M29&gt;0,"R","P"),IF(AND('Actividades'!$M29&gt;0,'Actividades'!$M29&lt;=S$9+6,'Actividades'!$N29&gt;=S$9),"H",""))</x:f>
      </x:c>
      <x:c r="T41" s="27" t="str">
        <x:f>IF(AND(ISNUMBER($F41),ISNUMBER($G41),$F41&lt;=T$9+6,$G41&gt;=T$9),IF('Actividades'!$M29&gt;0,"R","P"),IF(AND('Actividades'!$M29&gt;0,'Actividades'!$M29&lt;=T$9+6,'Actividades'!$N29&gt;=T$9),"H",""))</x:f>
      </x:c>
      <x:c r="U41" s="27" t="str">
        <x:f>IF(AND(ISNUMBER($F41),ISNUMBER($G41),$F41&lt;=U$9+6,$G41&gt;=U$9),IF('Actividades'!$M29&gt;0,"R","P"),IF(AND('Actividades'!$M29&gt;0,'Actividades'!$M29&lt;=U$9+6,'Actividades'!$N29&gt;=U$9),"H",""))</x:f>
      </x:c>
      <x:c r="V41" s="27" t="str">
        <x:f>IF(AND(ISNUMBER($F41),ISNUMBER($G41),$F41&lt;=V$9+6,$G41&gt;=V$9),IF('Actividades'!$M29&gt;0,"R","P"),IF(AND('Actividades'!$M29&gt;0,'Actividades'!$M29&lt;=V$9+6,'Actividades'!$N29&gt;=V$9),"H",""))</x:f>
      </x:c>
      <x:c r="W41" s="27" t="str">
        <x:f>IF(AND(ISNUMBER($F41),ISNUMBER($G41),$F41&lt;=W$9+6,$G41&gt;=W$9),IF('Actividades'!$M29&gt;0,"R","P"),IF(AND('Actividades'!$M29&gt;0,'Actividades'!$M29&lt;=W$9+6,'Actividades'!$N29&gt;=W$9),"H",""))</x:f>
      </x:c>
      <x:c r="X41" s="27" t="str">
        <x:f>IF(AND(ISNUMBER($F41),ISNUMBER($G41),$F41&lt;=X$9+6,$G41&gt;=X$9),IF('Actividades'!$M29&gt;0,"R","P"),IF(AND('Actividades'!$M29&gt;0,'Actividades'!$M29&lt;=X$9+6,'Actividades'!$N29&gt;=X$9),"H",""))</x:f>
      </x:c>
      <x:c r="Y41" s="27" t="str">
        <x:f>IF(AND(ISNUMBER($F41),ISNUMBER($G41),$F41&lt;=Y$9+6,$G41&gt;=Y$9),IF('Actividades'!$M29&gt;0,"R","P"),IF(AND('Actividades'!$M29&gt;0,'Actividades'!$M29&lt;=Y$9+6,'Actividades'!$N29&gt;=Y$9),"H",""))</x:f>
      </x:c>
      <x:c r="Z41" s="27" t="str">
        <x:f>IF(AND(ISNUMBER($F41),ISNUMBER($G41),$F41&lt;=Z$9+6,$G41&gt;=Z$9),IF('Actividades'!$M29&gt;0,"R","P"),IF(AND('Actividades'!$M29&gt;0,'Actividades'!$M29&lt;=Z$9+6,'Actividades'!$N29&gt;=Z$9),"H",""))</x:f>
      </x:c>
    </x:row>
    <x:row r="42" ht="42" customHeight="1">
      <x:c r="A42" s="21" t="str">
        <x:f>IF('Actividades'!B30="",'Actividades'!A30,'Actividades'!B30)</x:f>
        <x:v>SCRUM-34</x:v>
      </x:c>
      <x:c r="B42" s="21" t="str">
        <x:f>'Actividades'!C30</x:f>
        <x:v>Entrega de avance Fase 2</x:v>
      </x:c>
      <x:c r="C42" s="21" t="str">
        <x:f>IF('Actividades'!E30="No aplica","Propuesta",'Actividades'!E30)</x:f>
        <x:v>En revisión</x:v>
      </x:c>
      <x:c r="D42" s="21" t="str">
        <x:f>'Actividades'!H30</x:f>
        <x:v>Documentado</x:v>
      </x:c>
      <x:c r="E42" s="21" t="n">
        <x:f>IF('Actividades'!F30="","",'Actividades'!F30)</x:f>
        <x:v>5</x:v>
      </x:c>
      <x:c r="F42" s="24" t="n">
        <x:f>IF('Actividades'!O30="","",'Actividades'!O30)</x:f>
        <x:v>46310</x:v>
      </x:c>
      <x:c r="G42" s="24" t="n">
        <x:f>IF('Actividades'!P30="","",'Actividades'!P30)</x:f>
        <x:v>46312</x:v>
      </x:c>
      <x:c r="H42" s="2"/>
      <x:c r="I42" s="27" t="str">
        <x:f>IF(AND(ISNUMBER($F42),ISNUMBER($G42),$F42&lt;=I$9+6,$G42&gt;=I$9),IF('Actividades'!$M30&gt;0,"R","P"),IF(AND('Actividades'!$M30&gt;0,'Actividades'!$M30&lt;=I$9+6,'Actividades'!$N30&gt;=I$9),"H",""))</x:f>
      </x:c>
      <x:c r="J42" s="27" t="str">
        <x:f>IF(AND(ISNUMBER($F42),ISNUMBER($G42),$F42&lt;=J$9+6,$G42&gt;=J$9),IF('Actividades'!$M30&gt;0,"R","P"),IF(AND('Actividades'!$M30&gt;0,'Actividades'!$M30&lt;=J$9+6,'Actividades'!$N30&gt;=J$9),"H",""))</x:f>
      </x:c>
      <x:c r="K42" s="27" t="str">
        <x:f>IF(AND(ISNUMBER($F42),ISNUMBER($G42),$F42&lt;=K$9+6,$G42&gt;=K$9),IF('Actividades'!$M30&gt;0,"R","P"),IF(AND('Actividades'!$M30&gt;0,'Actividades'!$M30&lt;=K$9+6,'Actividades'!$N30&gt;=K$9),"H",""))</x:f>
      </x:c>
      <x:c r="L42" s="27" t="str">
        <x:f>IF(AND(ISNUMBER($F42),ISNUMBER($G42),$F42&lt;=L$9+6,$G42&gt;=L$9),IF('Actividades'!$M30&gt;0,"R","P"),IF(AND('Actividades'!$M30&gt;0,'Actividades'!$M30&lt;=L$9+6,'Actividades'!$N30&gt;=L$9),"H",""))</x:f>
      </x:c>
      <x:c r="M42" s="27" t="str">
        <x:f>IF(AND(ISNUMBER($F42),ISNUMBER($G42),$F42&lt;=M$9+6,$G42&gt;=M$9),IF('Actividades'!$M30&gt;0,"R","P"),IF(AND('Actividades'!$M30&gt;0,'Actividades'!$M30&lt;=M$9+6,'Actividades'!$N30&gt;=M$9),"H",""))</x:f>
      </x:c>
      <x:c r="N42" s="27" t="str">
        <x:f>IF(AND(ISNUMBER($F42),ISNUMBER($G42),$F42&lt;=N$9+6,$G42&gt;=N$9),IF('Actividades'!$M30&gt;0,"R","P"),IF(AND('Actividades'!$M30&gt;0,'Actividades'!$M30&lt;=N$9+6,'Actividades'!$N30&gt;=N$9),"H",""))</x:f>
      </x:c>
      <x:c r="O42" s="27" t="str">
        <x:f>IF(AND(ISNUMBER($F42),ISNUMBER($G42),$F42&lt;=O$9+6,$G42&gt;=O$9),IF('Actividades'!$M30&gt;0,"R","P"),IF(AND('Actividades'!$M30&gt;0,'Actividades'!$M30&lt;=O$9+6,'Actividades'!$N30&gt;=O$9),"H",""))</x:f>
      </x:c>
      <x:c r="P42" s="27" t="str">
        <x:f>IF(AND(ISNUMBER($F42),ISNUMBER($G42),$F42&lt;=P$9+6,$G42&gt;=P$9),IF('Actividades'!$M30&gt;0,"R","P"),IF(AND('Actividades'!$M30&gt;0,'Actividades'!$M30&lt;=P$9+6,'Actividades'!$N30&gt;=P$9),"H",""))</x:f>
      </x:c>
      <x:c r="Q42" s="27" t="str">
        <x:f>IF(AND(ISNUMBER($F42),ISNUMBER($G42),$F42&lt;=Q$9+6,$G42&gt;=Q$9),IF('Actividades'!$M30&gt;0,"R","P"),IF(AND('Actividades'!$M30&gt;0,'Actividades'!$M30&lt;=Q$9+6,'Actividades'!$N30&gt;=Q$9),"H",""))</x:f>
        <x:v>H</x:v>
      </x:c>
      <x:c r="R42" s="27" t="str">
        <x:f>IF(AND(ISNUMBER($F42),ISNUMBER($G42),$F42&lt;=R$9+6,$G42&gt;=R$9),IF('Actividades'!$M30&gt;0,"R","P"),IF(AND('Actividades'!$M30&gt;0,'Actividades'!$M30&lt;=R$9+6,'Actividades'!$N30&gt;=R$9),"H",""))</x:f>
        <x:v>R</x:v>
      </x:c>
      <x:c r="S42" s="27" t="str">
        <x:f>IF(AND(ISNUMBER($F42),ISNUMBER($G42),$F42&lt;=S$9+6,$G42&gt;=S$9),IF('Actividades'!$M30&gt;0,"R","P"),IF(AND('Actividades'!$M30&gt;0,'Actividades'!$M30&lt;=S$9+6,'Actividades'!$N30&gt;=S$9),"H",""))</x:f>
      </x:c>
      <x:c r="T42" s="27" t="str">
        <x:f>IF(AND(ISNUMBER($F42),ISNUMBER($G42),$F42&lt;=T$9+6,$G42&gt;=T$9),IF('Actividades'!$M30&gt;0,"R","P"),IF(AND('Actividades'!$M30&gt;0,'Actividades'!$M30&lt;=T$9+6,'Actividades'!$N30&gt;=T$9),"H",""))</x:f>
      </x:c>
      <x:c r="U42" s="27" t="str">
        <x:f>IF(AND(ISNUMBER($F42),ISNUMBER($G42),$F42&lt;=U$9+6,$G42&gt;=U$9),IF('Actividades'!$M30&gt;0,"R","P"),IF(AND('Actividades'!$M30&gt;0,'Actividades'!$M30&lt;=U$9+6,'Actividades'!$N30&gt;=U$9),"H",""))</x:f>
      </x:c>
      <x:c r="V42" s="27" t="str">
        <x:f>IF(AND(ISNUMBER($F42),ISNUMBER($G42),$F42&lt;=V$9+6,$G42&gt;=V$9),IF('Actividades'!$M30&gt;0,"R","P"),IF(AND('Actividades'!$M30&gt;0,'Actividades'!$M30&lt;=V$9+6,'Actividades'!$N30&gt;=V$9),"H",""))</x:f>
      </x:c>
      <x:c r="W42" s="27" t="str">
        <x:f>IF(AND(ISNUMBER($F42),ISNUMBER($G42),$F42&lt;=W$9+6,$G42&gt;=W$9),IF('Actividades'!$M30&gt;0,"R","P"),IF(AND('Actividades'!$M30&gt;0,'Actividades'!$M30&lt;=W$9+6,'Actividades'!$N30&gt;=W$9),"H",""))</x:f>
      </x:c>
      <x:c r="X42" s="27" t="str">
        <x:f>IF(AND(ISNUMBER($F42),ISNUMBER($G42),$F42&lt;=X$9+6,$G42&gt;=X$9),IF('Actividades'!$M30&gt;0,"R","P"),IF(AND('Actividades'!$M30&gt;0,'Actividades'!$M30&lt;=X$9+6,'Actividades'!$N30&gt;=X$9),"H",""))</x:f>
      </x:c>
      <x:c r="Y42" s="27" t="str">
        <x:f>IF(AND(ISNUMBER($F42),ISNUMBER($G42),$F42&lt;=Y$9+6,$G42&gt;=Y$9),IF('Actividades'!$M30&gt;0,"R","P"),IF(AND('Actividades'!$M30&gt;0,'Actividades'!$M30&lt;=Y$9+6,'Actividades'!$N30&gt;=Y$9),"H",""))</x:f>
      </x:c>
      <x:c r="Z42" s="27" t="str">
        <x:f>IF(AND(ISNUMBER($F42),ISNUMBER($G42),$F42&lt;=Z$9+6,$G42&gt;=Z$9),IF('Actividades'!$M30&gt;0,"R","P"),IF(AND('Actividades'!$M30&gt;0,'Actividades'!$M30&lt;=Z$9+6,'Actividades'!$N30&gt;=Z$9),"H",""))</x:f>
      </x:c>
    </x:row>
    <x:row r="43" ht="42" customHeight="1">
      <x:c r="A43" s="10" t="str">
        <x:f>IF('Actividades'!B31="",'Actividades'!A31,'Actividades'!B31)</x:f>
        <x:v>SCRUM-49</x:v>
      </x:c>
      <x:c r="B43" s="10" t="str">
        <x:f>'Actividades'!C31</x:f>
        <x:v>Justificaciones por Inspectoría</x:v>
      </x:c>
      <x:c r="C43" s="10" t="str">
        <x:f>IF('Actividades'!E31="No aplica","Propuesta",'Actividades'!E31)</x:f>
        <x:v>En revisión</x:v>
      </x:c>
      <x:c r="D43" s="10" t="str">
        <x:f>'Actividades'!H31</x:f>
        <x:v>Implementado</x:v>
      </x:c>
      <x:c r="E43" s="10" t="n">
        <x:f>IF('Actividades'!F31="","",'Actividades'!F31)</x:f>
        <x:v>5</x:v>
      </x:c>
      <x:c r="F43" s="23" t="n">
        <x:f>IF('Actividades'!O31="","",'Actividades'!O31)</x:f>
        <x:v>46310</x:v>
      </x:c>
      <x:c r="G43" s="23" t="n">
        <x:f>IF('Actividades'!P31="","",'Actividades'!P31)</x:f>
        <x:v>46312</x:v>
      </x:c>
      <x:c r="H43" s="2"/>
      <x:c r="I43" s="27" t="str">
        <x:f>IF(AND(ISNUMBER($F43),ISNUMBER($G43),$F43&lt;=I$9+6,$G43&gt;=I$9),IF('Actividades'!$M31&gt;0,"R","P"),IF(AND('Actividades'!$M31&gt;0,'Actividades'!$M31&lt;=I$9+6,'Actividades'!$N31&gt;=I$9),"H",""))</x:f>
      </x:c>
      <x:c r="J43" s="27" t="str">
        <x:f>IF(AND(ISNUMBER($F43),ISNUMBER($G43),$F43&lt;=J$9+6,$G43&gt;=J$9),IF('Actividades'!$M31&gt;0,"R","P"),IF(AND('Actividades'!$M31&gt;0,'Actividades'!$M31&lt;=J$9+6,'Actividades'!$N31&gt;=J$9),"H",""))</x:f>
      </x:c>
      <x:c r="K43" s="27" t="str">
        <x:f>IF(AND(ISNUMBER($F43),ISNUMBER($G43),$F43&lt;=K$9+6,$G43&gt;=K$9),IF('Actividades'!$M31&gt;0,"R","P"),IF(AND('Actividades'!$M31&gt;0,'Actividades'!$M31&lt;=K$9+6,'Actividades'!$N31&gt;=K$9),"H",""))</x:f>
      </x:c>
      <x:c r="L43" s="27" t="str">
        <x:f>IF(AND(ISNUMBER($F43),ISNUMBER($G43),$F43&lt;=L$9+6,$G43&gt;=L$9),IF('Actividades'!$M31&gt;0,"R","P"),IF(AND('Actividades'!$M31&gt;0,'Actividades'!$M31&lt;=L$9+6,'Actividades'!$N31&gt;=L$9),"H",""))</x:f>
      </x:c>
      <x:c r="M43" s="27" t="str">
        <x:f>IF(AND(ISNUMBER($F43),ISNUMBER($G43),$F43&lt;=M$9+6,$G43&gt;=M$9),IF('Actividades'!$M31&gt;0,"R","P"),IF(AND('Actividades'!$M31&gt;0,'Actividades'!$M31&lt;=M$9+6,'Actividades'!$N31&gt;=M$9),"H",""))</x:f>
      </x:c>
      <x:c r="N43" s="27" t="str">
        <x:f>IF(AND(ISNUMBER($F43),ISNUMBER($G43),$F43&lt;=N$9+6,$G43&gt;=N$9),IF('Actividades'!$M31&gt;0,"R","P"),IF(AND('Actividades'!$M31&gt;0,'Actividades'!$M31&lt;=N$9+6,'Actividades'!$N31&gt;=N$9),"H",""))</x:f>
      </x:c>
      <x:c r="O43" s="27" t="str">
        <x:f>IF(AND(ISNUMBER($F43),ISNUMBER($G43),$F43&lt;=O$9+6,$G43&gt;=O$9),IF('Actividades'!$M31&gt;0,"R","P"),IF(AND('Actividades'!$M31&gt;0,'Actividades'!$M31&lt;=O$9+6,'Actividades'!$N31&gt;=O$9),"H",""))</x:f>
      </x:c>
      <x:c r="P43" s="27" t="str">
        <x:f>IF(AND(ISNUMBER($F43),ISNUMBER($G43),$F43&lt;=P$9+6,$G43&gt;=P$9),IF('Actividades'!$M31&gt;0,"R","P"),IF(AND('Actividades'!$M31&gt;0,'Actividades'!$M31&lt;=P$9+6,'Actividades'!$N31&gt;=P$9),"H",""))</x:f>
      </x:c>
      <x:c r="Q43" s="27" t="str">
        <x:f>IF(AND(ISNUMBER($F43),ISNUMBER($G43),$F43&lt;=Q$9+6,$G43&gt;=Q$9),IF('Actividades'!$M31&gt;0,"R","P"),IF(AND('Actividades'!$M31&gt;0,'Actividades'!$M31&lt;=Q$9+6,'Actividades'!$N31&gt;=Q$9),"H",""))</x:f>
        <x:v>H</x:v>
      </x:c>
      <x:c r="R43" s="27" t="str">
        <x:f>IF(AND(ISNUMBER($F43),ISNUMBER($G43),$F43&lt;=R$9+6,$G43&gt;=R$9),IF('Actividades'!$M31&gt;0,"R","P"),IF(AND('Actividades'!$M31&gt;0,'Actividades'!$M31&lt;=R$9+6,'Actividades'!$N31&gt;=R$9),"H",""))</x:f>
        <x:v>R</x:v>
      </x:c>
      <x:c r="S43" s="27" t="str">
        <x:f>IF(AND(ISNUMBER($F43),ISNUMBER($G43),$F43&lt;=S$9+6,$G43&gt;=S$9),IF('Actividades'!$M31&gt;0,"R","P"),IF(AND('Actividades'!$M31&gt;0,'Actividades'!$M31&lt;=S$9+6,'Actividades'!$N31&gt;=S$9),"H",""))</x:f>
      </x:c>
      <x:c r="T43" s="27" t="str">
        <x:f>IF(AND(ISNUMBER($F43),ISNUMBER($G43),$F43&lt;=T$9+6,$G43&gt;=T$9),IF('Actividades'!$M31&gt;0,"R","P"),IF(AND('Actividades'!$M31&gt;0,'Actividades'!$M31&lt;=T$9+6,'Actividades'!$N31&gt;=T$9),"H",""))</x:f>
      </x:c>
      <x:c r="U43" s="27" t="str">
        <x:f>IF(AND(ISNUMBER($F43),ISNUMBER($G43),$F43&lt;=U$9+6,$G43&gt;=U$9),IF('Actividades'!$M31&gt;0,"R","P"),IF(AND('Actividades'!$M31&gt;0,'Actividades'!$M31&lt;=U$9+6,'Actividades'!$N31&gt;=U$9),"H",""))</x:f>
      </x:c>
      <x:c r="V43" s="27" t="str">
        <x:f>IF(AND(ISNUMBER($F43),ISNUMBER($G43),$F43&lt;=V$9+6,$G43&gt;=V$9),IF('Actividades'!$M31&gt;0,"R","P"),IF(AND('Actividades'!$M31&gt;0,'Actividades'!$M31&lt;=V$9+6,'Actividades'!$N31&gt;=V$9),"H",""))</x:f>
      </x:c>
      <x:c r="W43" s="27" t="str">
        <x:f>IF(AND(ISNUMBER($F43),ISNUMBER($G43),$F43&lt;=W$9+6,$G43&gt;=W$9),IF('Actividades'!$M31&gt;0,"R","P"),IF(AND('Actividades'!$M31&gt;0,'Actividades'!$M31&lt;=W$9+6,'Actividades'!$N31&gt;=W$9),"H",""))</x:f>
      </x:c>
      <x:c r="X43" s="27" t="str">
        <x:f>IF(AND(ISNUMBER($F43),ISNUMBER($G43),$F43&lt;=X$9+6,$G43&gt;=X$9),IF('Actividades'!$M31&gt;0,"R","P"),IF(AND('Actividades'!$M31&gt;0,'Actividades'!$M31&lt;=X$9+6,'Actividades'!$N31&gt;=X$9),"H",""))</x:f>
      </x:c>
      <x:c r="Y43" s="27" t="str">
        <x:f>IF(AND(ISNUMBER($F43),ISNUMBER($G43),$F43&lt;=Y$9+6,$G43&gt;=Y$9),IF('Actividades'!$M31&gt;0,"R","P"),IF(AND('Actividades'!$M31&gt;0,'Actividades'!$M31&lt;=Y$9+6,'Actividades'!$N31&gt;=Y$9),"H",""))</x:f>
      </x:c>
      <x:c r="Z43" s="27" t="str">
        <x:f>IF(AND(ISNUMBER($F43),ISNUMBER($G43),$F43&lt;=Z$9+6,$G43&gt;=Z$9),IF('Actividades'!$M31&gt;0,"R","P"),IF(AND('Actividades'!$M31&gt;0,'Actividades'!$M31&lt;=Z$9+6,'Actividades'!$N31&gt;=Z$9),"H",""))</x:f>
      </x:c>
    </x:row>
    <x:row r="44">
      <x:c r="A44" s="2"/>
      <x:c r="B44" s="2"/>
      <x:c r="C44" s="2"/>
      <x:c r="D44" s="2"/>
      <x:c r="E44" s="2"/>
      <x:c r="F44" s="25"/>
      <x:c r="G44" s="25"/>
      <x:c r="H44" s="2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24" customHeight="1">
      <x:c r="A45" s="7" t="str">
        <x:v>Sprint 4 - complemento</x:v>
      </x:c>
      <x:c r="B45" s="7"/>
      <x:c r="C45" s="7"/>
      <x:c r="D45" s="7"/>
      <x:c r="E45" s="7" t="n">
        <x:f>SUMIFS('Actividades'!$F$7:$F$51,'Actividades'!$G$7:$G$51,A45)</x:f>
        <x:v>8</x:v>
      </x:c>
      <x:c r="F45" s="22"/>
      <x:c r="G45" s="22"/>
      <x:c r="H45" s="7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42" customHeight="1">
      <x:c r="A46" s="21" t="str">
        <x:f>IF('Actividades'!B32="",'Actividades'!A32,'Actividades'!B32)</x:f>
        <x:v>OPS-01</x:v>
      </x:c>
      <x:c r="B46" s="21" t="str">
        <x:f>'Actividades'!C32</x:f>
        <x:v>Verificar acceso HTTPS al dominio</x:v>
      </x:c>
      <x:c r="C46" s="21" t="str">
        <x:f>IF('Actividades'!E32="No aplica","Propuesta",'Actividades'!E32)</x:f>
        <x:v>Propuesta</x:v>
      </x:c>
      <x:c r="D46" s="21" t="str">
        <x:f>'Actividades'!H32</x:f>
        <x:v>Parcial</x:v>
      </x:c>
      <x:c r="E46" s="21" t="str">
        <x:f>IF('Actividades'!F32="","",'Actividades'!F32)</x:f>
      </x:c>
      <x:c r="F46" s="24" t="n">
        <x:f>IF('Actividades'!O32="","",'Actividades'!O32)</x:f>
        <x:v>46311</x:v>
      </x:c>
      <x:c r="G46" s="24" t="n">
        <x:f>IF('Actividades'!P32="","",'Actividades'!P32)</x:f>
        <x:v>46312</x:v>
      </x:c>
      <x:c r="H46" s="2"/>
      <x:c r="I46" s="27" t="str">
        <x:f>IF(AND(ISNUMBER($F46),ISNUMBER($G46),$F46&lt;=I$9+6,$G46&gt;=I$9),IF('Actividades'!$M32&gt;0,"R","P"),IF(AND('Actividades'!$M32&gt;0,'Actividades'!$M32&lt;=I$9+6,'Actividades'!$N32&gt;=I$9),"H",""))</x:f>
      </x:c>
      <x:c r="J46" s="27" t="str">
        <x:f>IF(AND(ISNUMBER($F46),ISNUMBER($G46),$F46&lt;=J$9+6,$G46&gt;=J$9),IF('Actividades'!$M32&gt;0,"R","P"),IF(AND('Actividades'!$M32&gt;0,'Actividades'!$M32&lt;=J$9+6,'Actividades'!$N32&gt;=J$9),"H",""))</x:f>
      </x:c>
      <x:c r="K46" s="27" t="str">
        <x:f>IF(AND(ISNUMBER($F46),ISNUMBER($G46),$F46&lt;=K$9+6,$G46&gt;=K$9),IF('Actividades'!$M32&gt;0,"R","P"),IF(AND('Actividades'!$M32&gt;0,'Actividades'!$M32&lt;=K$9+6,'Actividades'!$N32&gt;=K$9),"H",""))</x:f>
      </x:c>
      <x:c r="L46" s="27" t="str">
        <x:f>IF(AND(ISNUMBER($F46),ISNUMBER($G46),$F46&lt;=L$9+6,$G46&gt;=L$9),IF('Actividades'!$M32&gt;0,"R","P"),IF(AND('Actividades'!$M32&gt;0,'Actividades'!$M32&lt;=L$9+6,'Actividades'!$N32&gt;=L$9),"H",""))</x:f>
      </x:c>
      <x:c r="M46" s="27" t="str">
        <x:f>IF(AND(ISNUMBER($F46),ISNUMBER($G46),$F46&lt;=M$9+6,$G46&gt;=M$9),IF('Actividades'!$M32&gt;0,"R","P"),IF(AND('Actividades'!$M32&gt;0,'Actividades'!$M32&lt;=M$9+6,'Actividades'!$N32&gt;=M$9),"H",""))</x:f>
      </x:c>
      <x:c r="N46" s="27" t="str">
        <x:f>IF(AND(ISNUMBER($F46),ISNUMBER($G46),$F46&lt;=N$9+6,$G46&gt;=N$9),IF('Actividades'!$M32&gt;0,"R","P"),IF(AND('Actividades'!$M32&gt;0,'Actividades'!$M32&lt;=N$9+6,'Actividades'!$N32&gt;=N$9),"H",""))</x:f>
      </x:c>
      <x:c r="O46" s="27" t="str">
        <x:f>IF(AND(ISNUMBER($F46),ISNUMBER($G46),$F46&lt;=O$9+6,$G46&gt;=O$9),IF('Actividades'!$M32&gt;0,"R","P"),IF(AND('Actividades'!$M32&gt;0,'Actividades'!$M32&lt;=O$9+6,'Actividades'!$N32&gt;=O$9),"H",""))</x:f>
      </x:c>
      <x:c r="P46" s="27" t="str">
        <x:f>IF(AND(ISNUMBER($F46),ISNUMBER($G46),$F46&lt;=P$9+6,$G46&gt;=P$9),IF('Actividades'!$M32&gt;0,"R","P"),IF(AND('Actividades'!$M32&gt;0,'Actividades'!$M32&lt;=P$9+6,'Actividades'!$N32&gt;=P$9),"H",""))</x:f>
      </x:c>
      <x:c r="Q46" s="27" t="str">
        <x:f>IF(AND(ISNUMBER($F46),ISNUMBER($G46),$F46&lt;=Q$9+6,$G46&gt;=Q$9),IF('Actividades'!$M32&gt;0,"R","P"),IF(AND('Actividades'!$M32&gt;0,'Actividades'!$M32&lt;=Q$9+6,'Actividades'!$N32&gt;=Q$9),"H",""))</x:f>
      </x:c>
      <x:c r="R46" s="27" t="str">
        <x:f>IF(AND(ISNUMBER($F46),ISNUMBER($G46),$F46&lt;=R$9+6,$G46&gt;=R$9),IF('Actividades'!$M32&gt;0,"R","P"),IF(AND('Actividades'!$M32&gt;0,'Actividades'!$M32&lt;=R$9+6,'Actividades'!$N32&gt;=R$9),"H",""))</x:f>
        <x:v>P</x:v>
      </x:c>
      <x:c r="S46" s="27" t="str">
        <x:f>IF(AND(ISNUMBER($F46),ISNUMBER($G46),$F46&lt;=S$9+6,$G46&gt;=S$9),IF('Actividades'!$M32&gt;0,"R","P"),IF(AND('Actividades'!$M32&gt;0,'Actividades'!$M32&lt;=S$9+6,'Actividades'!$N32&gt;=S$9),"H",""))</x:f>
      </x:c>
      <x:c r="T46" s="27" t="str">
        <x:f>IF(AND(ISNUMBER($F46),ISNUMBER($G46),$F46&lt;=T$9+6,$G46&gt;=T$9),IF('Actividades'!$M32&gt;0,"R","P"),IF(AND('Actividades'!$M32&gt;0,'Actividades'!$M32&lt;=T$9+6,'Actividades'!$N32&gt;=T$9),"H",""))</x:f>
      </x:c>
      <x:c r="U46" s="27" t="str">
        <x:f>IF(AND(ISNUMBER($F46),ISNUMBER($G46),$F46&lt;=U$9+6,$G46&gt;=U$9),IF('Actividades'!$M32&gt;0,"R","P"),IF(AND('Actividades'!$M32&gt;0,'Actividades'!$M32&lt;=U$9+6,'Actividades'!$N32&gt;=U$9),"H",""))</x:f>
      </x:c>
      <x:c r="V46" s="27" t="str">
        <x:f>IF(AND(ISNUMBER($F46),ISNUMBER($G46),$F46&lt;=V$9+6,$G46&gt;=V$9),IF('Actividades'!$M32&gt;0,"R","P"),IF(AND('Actividades'!$M32&gt;0,'Actividades'!$M32&lt;=V$9+6,'Actividades'!$N32&gt;=V$9),"H",""))</x:f>
      </x:c>
      <x:c r="W46" s="27" t="str">
        <x:f>IF(AND(ISNUMBER($F46),ISNUMBER($G46),$F46&lt;=W$9+6,$G46&gt;=W$9),IF('Actividades'!$M32&gt;0,"R","P"),IF(AND('Actividades'!$M32&gt;0,'Actividades'!$M32&lt;=W$9+6,'Actividades'!$N32&gt;=W$9),"H",""))</x:f>
      </x:c>
      <x:c r="X46" s="27" t="str">
        <x:f>IF(AND(ISNUMBER($F46),ISNUMBER($G46),$F46&lt;=X$9+6,$G46&gt;=X$9),IF('Actividades'!$M32&gt;0,"R","P"),IF(AND('Actividades'!$M32&gt;0,'Actividades'!$M32&lt;=X$9+6,'Actividades'!$N32&gt;=X$9),"H",""))</x:f>
      </x:c>
      <x:c r="Y46" s="27" t="str">
        <x:f>IF(AND(ISNUMBER($F46),ISNUMBER($G46),$F46&lt;=Y$9+6,$G46&gt;=Y$9),IF('Actividades'!$M32&gt;0,"R","P"),IF(AND('Actividades'!$M32&gt;0,'Actividades'!$M32&lt;=Y$9+6,'Actividades'!$N32&gt;=Y$9),"H",""))</x:f>
      </x:c>
      <x:c r="Z46" s="27" t="str">
        <x:f>IF(AND(ISNUMBER($F46),ISNUMBER($G46),$F46&lt;=Z$9+6,$G46&gt;=Z$9),IF('Actividades'!$M32&gt;0,"R","P"),IF(AND('Actividades'!$M32&gt;0,'Actividades'!$M32&lt;=Z$9+6,'Actividades'!$N32&gt;=Z$9),"H",""))</x:f>
      </x:c>
    </x:row>
    <x:row r="47" ht="42" customHeight="1">
      <x:c r="A47" s="10" t="str">
        <x:f>IF('Actividades'!B33="",'Actividades'!A33,'Actividades'!B33)</x:f>
        <x:v>SCRUM-29</x:v>
      </x:c>
      <x:c r="B47" s="10" t="str">
        <x:f>'Actividades'!C33</x:f>
        <x:v>Evaluaciones y calificaciones</x:v>
      </x:c>
      <x:c r="C47" s="10" t="str">
        <x:f>IF('Actividades'!E33="No aplica","Propuesta",'Actividades'!E33)</x:f>
        <x:v>En revisión</x:v>
      </x:c>
      <x:c r="D47" s="10" t="str">
        <x:f>'Actividades'!H33</x:f>
        <x:v>Implementado</x:v>
      </x:c>
      <x:c r="E47" s="10" t="n">
        <x:f>IF('Actividades'!F33="","",'Actividades'!F33)</x:f>
        <x:v>8</x:v>
      </x:c>
      <x:c r="F47" s="23" t="n">
        <x:f>IF('Actividades'!O33="","",'Actividades'!O33)</x:f>
        <x:v>46310</x:v>
      </x:c>
      <x:c r="G47" s="23" t="n">
        <x:f>IF('Actividades'!P33="","",'Actividades'!P33)</x:f>
        <x:v>46312</x:v>
      </x:c>
      <x:c r="H47" s="2"/>
      <x:c r="I47" s="27" t="str">
        <x:f>IF(AND(ISNUMBER($F47),ISNUMBER($G47),$F47&lt;=I$9+6,$G47&gt;=I$9),IF('Actividades'!$M33&gt;0,"R","P"),IF(AND('Actividades'!$M33&gt;0,'Actividades'!$M33&lt;=I$9+6,'Actividades'!$N33&gt;=I$9),"H",""))</x:f>
      </x:c>
      <x:c r="J47" s="27" t="str">
        <x:f>IF(AND(ISNUMBER($F47),ISNUMBER($G47),$F47&lt;=J$9+6,$G47&gt;=J$9),IF('Actividades'!$M33&gt;0,"R","P"),IF(AND('Actividades'!$M33&gt;0,'Actividades'!$M33&lt;=J$9+6,'Actividades'!$N33&gt;=J$9),"H",""))</x:f>
      </x:c>
      <x:c r="K47" s="27" t="str">
        <x:f>IF(AND(ISNUMBER($F47),ISNUMBER($G47),$F47&lt;=K$9+6,$G47&gt;=K$9),IF('Actividades'!$M33&gt;0,"R","P"),IF(AND('Actividades'!$M33&gt;0,'Actividades'!$M33&lt;=K$9+6,'Actividades'!$N33&gt;=K$9),"H",""))</x:f>
      </x:c>
      <x:c r="L47" s="27" t="str">
        <x:f>IF(AND(ISNUMBER($F47),ISNUMBER($G47),$F47&lt;=L$9+6,$G47&gt;=L$9),IF('Actividades'!$M33&gt;0,"R","P"),IF(AND('Actividades'!$M33&gt;0,'Actividades'!$M33&lt;=L$9+6,'Actividades'!$N33&gt;=L$9),"H",""))</x:f>
      </x:c>
      <x:c r="M47" s="27" t="str">
        <x:f>IF(AND(ISNUMBER($F47),ISNUMBER($G47),$F47&lt;=M$9+6,$G47&gt;=M$9),IF('Actividades'!$M33&gt;0,"R","P"),IF(AND('Actividades'!$M33&gt;0,'Actividades'!$M33&lt;=M$9+6,'Actividades'!$N33&gt;=M$9),"H",""))</x:f>
      </x:c>
      <x:c r="N47" s="27" t="str">
        <x:f>IF(AND(ISNUMBER($F47),ISNUMBER($G47),$F47&lt;=N$9+6,$G47&gt;=N$9),IF('Actividades'!$M33&gt;0,"R","P"),IF(AND('Actividades'!$M33&gt;0,'Actividades'!$M33&lt;=N$9+6,'Actividades'!$N33&gt;=N$9),"H",""))</x:f>
      </x:c>
      <x:c r="O47" s="27" t="str">
        <x:f>IF(AND(ISNUMBER($F47),ISNUMBER($G47),$F47&lt;=O$9+6,$G47&gt;=O$9),IF('Actividades'!$M33&gt;0,"R","P"),IF(AND('Actividades'!$M33&gt;0,'Actividades'!$M33&lt;=O$9+6,'Actividades'!$N33&gt;=O$9),"H",""))</x:f>
      </x:c>
      <x:c r="P47" s="27" t="str">
        <x:f>IF(AND(ISNUMBER($F47),ISNUMBER($G47),$F47&lt;=P$9+6,$G47&gt;=P$9),IF('Actividades'!$M33&gt;0,"R","P"),IF(AND('Actividades'!$M33&gt;0,'Actividades'!$M33&lt;=P$9+6,'Actividades'!$N33&gt;=P$9),"H",""))</x:f>
      </x:c>
      <x:c r="Q47" s="27" t="str">
        <x:f>IF(AND(ISNUMBER($F47),ISNUMBER($G47),$F47&lt;=Q$9+6,$G47&gt;=Q$9),IF('Actividades'!$M33&gt;0,"R","P"),IF(AND('Actividades'!$M33&gt;0,'Actividades'!$M33&lt;=Q$9+6,'Actividades'!$N33&gt;=Q$9),"H",""))</x:f>
      </x:c>
      <x:c r="R47" s="27" t="str">
        <x:f>IF(AND(ISNUMBER($F47),ISNUMBER($G47),$F47&lt;=R$9+6,$G47&gt;=R$9),IF('Actividades'!$M33&gt;0,"R","P"),IF(AND('Actividades'!$M33&gt;0,'Actividades'!$M33&lt;=R$9+6,'Actividades'!$N33&gt;=R$9),"H",""))</x:f>
        <x:v>P</x:v>
      </x:c>
      <x:c r="S47" s="27" t="str">
        <x:f>IF(AND(ISNUMBER($F47),ISNUMBER($G47),$F47&lt;=S$9+6,$G47&gt;=S$9),IF('Actividades'!$M33&gt;0,"R","P"),IF(AND('Actividades'!$M33&gt;0,'Actividades'!$M33&lt;=S$9+6,'Actividades'!$N33&gt;=S$9),"H",""))</x:f>
      </x:c>
      <x:c r="T47" s="27" t="str">
        <x:f>IF(AND(ISNUMBER($F47),ISNUMBER($G47),$F47&lt;=T$9+6,$G47&gt;=T$9),IF('Actividades'!$M33&gt;0,"R","P"),IF(AND('Actividades'!$M33&gt;0,'Actividades'!$M33&lt;=T$9+6,'Actividades'!$N33&gt;=T$9),"H",""))</x:f>
      </x:c>
      <x:c r="U47" s="27" t="str">
        <x:f>IF(AND(ISNUMBER($F47),ISNUMBER($G47),$F47&lt;=U$9+6,$G47&gt;=U$9),IF('Actividades'!$M33&gt;0,"R","P"),IF(AND('Actividades'!$M33&gt;0,'Actividades'!$M33&lt;=U$9+6,'Actividades'!$N33&gt;=U$9),"H",""))</x:f>
      </x:c>
      <x:c r="V47" s="27" t="str">
        <x:f>IF(AND(ISNUMBER($F47),ISNUMBER($G47),$F47&lt;=V$9+6,$G47&gt;=V$9),IF('Actividades'!$M33&gt;0,"R","P"),IF(AND('Actividades'!$M33&gt;0,'Actividades'!$M33&lt;=V$9+6,'Actividades'!$N33&gt;=V$9),"H",""))</x:f>
      </x:c>
      <x:c r="W47" s="27" t="str">
        <x:f>IF(AND(ISNUMBER($F47),ISNUMBER($G47),$F47&lt;=W$9+6,$G47&gt;=W$9),IF('Actividades'!$M33&gt;0,"R","P"),IF(AND('Actividades'!$M33&gt;0,'Actividades'!$M33&lt;=W$9+6,'Actividades'!$N33&gt;=W$9),"H",""))</x:f>
      </x:c>
      <x:c r="X47" s="27" t="str">
        <x:f>IF(AND(ISNUMBER($F47),ISNUMBER($G47),$F47&lt;=X$9+6,$G47&gt;=X$9),IF('Actividades'!$M33&gt;0,"R","P"),IF(AND('Actividades'!$M33&gt;0,'Actividades'!$M33&lt;=X$9+6,'Actividades'!$N33&gt;=X$9),"H",""))</x:f>
      </x:c>
      <x:c r="Y47" s="27" t="str">
        <x:f>IF(AND(ISNUMBER($F47),ISNUMBER($G47),$F47&lt;=Y$9+6,$G47&gt;=Y$9),IF('Actividades'!$M33&gt;0,"R","P"),IF(AND('Actividades'!$M33&gt;0,'Actividades'!$M33&lt;=Y$9+6,'Actividades'!$N33&gt;=Y$9),"H",""))</x:f>
      </x:c>
      <x:c r="Z47" s="27" t="str">
        <x:f>IF(AND(ISNUMBER($F47),ISNUMBER($G47),$F47&lt;=Z$9+6,$G47&gt;=Z$9),IF('Actividades'!$M33&gt;0,"R","P"),IF(AND('Actividades'!$M33&gt;0,'Actividades'!$M33&lt;=Z$9+6,'Actividades'!$N33&gt;=Z$9),"H",""))</x:f>
      </x:c>
    </x:row>
    <x:row r="48">
      <x:c r="A48" s="2"/>
      <x:c r="B48" s="2"/>
      <x:c r="C48" s="2"/>
      <x:c r="D48" s="2"/>
      <x:c r="E48" s="2"/>
      <x:c r="F48" s="25"/>
      <x:c r="G48" s="25"/>
      <x:c r="H48" s="2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24" customHeight="1">
      <x:c r="A49" s="7" t="str">
        <x:v>Sprint 5 planificado</x:v>
      </x:c>
      <x:c r="B49" s="7"/>
      <x:c r="C49" s="7"/>
      <x:c r="D49" s="7"/>
      <x:c r="E49" s="7" t="n">
        <x:f>SUMIFS('Actividades'!$F$7:$F$51,'Actividades'!$G$7:$G$51,A49)</x:f>
        <x:v>26</x:v>
      </x:c>
      <x:c r="F49" s="22"/>
      <x:c r="G49" s="22"/>
      <x:c r="H49" s="7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42" customHeight="1">
      <x:c r="A50" s="21" t="str">
        <x:f>IF('Actividades'!B34="",'Actividades'!A34,'Actividades'!B34)</x:f>
        <x:v>GEST-S5</x:v>
      </x:c>
      <x:c r="B50" s="21" t="str">
        <x:f>'Actividades'!C34</x:f>
        <x:v>Planificar, coordinar y revisar Sprint 5</x:v>
      </x:c>
      <x:c r="C50" s="21" t="str">
        <x:f>IF('Actividades'!E34="No aplica","Propuesta",'Actividades'!E34)</x:f>
        <x:v>Propuesta</x:v>
      </x:c>
      <x:c r="D50" s="21" t="str">
        <x:f>'Actividades'!H34</x:f>
        <x:v>Pendiente</x:v>
      </x:c>
      <x:c r="E50" s="21" t="str">
        <x:f>IF('Actividades'!F34="","",'Actividades'!F34)</x:f>
      </x:c>
      <x:c r="F50" s="24" t="n">
        <x:f>IF('Actividades'!O34="","",'Actividades'!O34)</x:f>
        <x:v>46314</x:v>
      </x:c>
      <x:c r="G50" s="24" t="n">
        <x:f>IF('Actividades'!P34="","",'Actividades'!P34)</x:f>
        <x:v>46326</x:v>
      </x:c>
      <x:c r="H50" s="2"/>
      <x:c r="I50" s="27" t="str">
        <x:f>IF(AND(ISNUMBER($F50),ISNUMBER($G50),$F50&lt;=I$9+6,$G50&gt;=I$9),IF('Actividades'!$M34&gt;0,"R","P"),IF(AND('Actividades'!$M34&gt;0,'Actividades'!$M34&lt;=I$9+6,'Actividades'!$N34&gt;=I$9),"H",""))</x:f>
      </x:c>
      <x:c r="J50" s="27" t="str">
        <x:f>IF(AND(ISNUMBER($F50),ISNUMBER($G50),$F50&lt;=J$9+6,$G50&gt;=J$9),IF('Actividades'!$M34&gt;0,"R","P"),IF(AND('Actividades'!$M34&gt;0,'Actividades'!$M34&lt;=J$9+6,'Actividades'!$N34&gt;=J$9),"H",""))</x:f>
      </x:c>
      <x:c r="K50" s="27" t="str">
        <x:f>IF(AND(ISNUMBER($F50),ISNUMBER($G50),$F50&lt;=K$9+6,$G50&gt;=K$9),IF('Actividades'!$M34&gt;0,"R","P"),IF(AND('Actividades'!$M34&gt;0,'Actividades'!$M34&lt;=K$9+6,'Actividades'!$N34&gt;=K$9),"H",""))</x:f>
      </x:c>
      <x:c r="L50" s="27" t="str">
        <x:f>IF(AND(ISNUMBER($F50),ISNUMBER($G50),$F50&lt;=L$9+6,$G50&gt;=L$9),IF('Actividades'!$M34&gt;0,"R","P"),IF(AND('Actividades'!$M34&gt;0,'Actividades'!$M34&lt;=L$9+6,'Actividades'!$N34&gt;=L$9),"H",""))</x:f>
      </x:c>
      <x:c r="M50" s="27" t="str">
        <x:f>IF(AND(ISNUMBER($F50),ISNUMBER($G50),$F50&lt;=M$9+6,$G50&gt;=M$9),IF('Actividades'!$M34&gt;0,"R","P"),IF(AND('Actividades'!$M34&gt;0,'Actividades'!$M34&lt;=M$9+6,'Actividades'!$N34&gt;=M$9),"H",""))</x:f>
      </x:c>
      <x:c r="N50" s="27" t="str">
        <x:f>IF(AND(ISNUMBER($F50),ISNUMBER($G50),$F50&lt;=N$9+6,$G50&gt;=N$9),IF('Actividades'!$M34&gt;0,"R","P"),IF(AND('Actividades'!$M34&gt;0,'Actividades'!$M34&lt;=N$9+6,'Actividades'!$N34&gt;=N$9),"H",""))</x:f>
      </x:c>
      <x:c r="O50" s="27" t="str">
        <x:f>IF(AND(ISNUMBER($F50),ISNUMBER($G50),$F50&lt;=O$9+6,$G50&gt;=O$9),IF('Actividades'!$M34&gt;0,"R","P"),IF(AND('Actividades'!$M34&gt;0,'Actividades'!$M34&lt;=O$9+6,'Actividades'!$N34&gt;=O$9),"H",""))</x:f>
      </x:c>
      <x:c r="P50" s="27" t="str">
        <x:f>IF(AND(ISNUMBER($F50),ISNUMBER($G50),$F50&lt;=P$9+6,$G50&gt;=P$9),IF('Actividades'!$M34&gt;0,"R","P"),IF(AND('Actividades'!$M34&gt;0,'Actividades'!$M34&lt;=P$9+6,'Actividades'!$N34&gt;=P$9),"H",""))</x:f>
      </x:c>
      <x:c r="Q50" s="27" t="str">
        <x:f>IF(AND(ISNUMBER($F50),ISNUMBER($G50),$F50&lt;=Q$9+6,$G50&gt;=Q$9),IF('Actividades'!$M34&gt;0,"R","P"),IF(AND('Actividades'!$M34&gt;0,'Actividades'!$M34&lt;=Q$9+6,'Actividades'!$N34&gt;=Q$9),"H",""))</x:f>
      </x:c>
      <x:c r="R50" s="27" t="str">
        <x:f>IF(AND(ISNUMBER($F50),ISNUMBER($G50),$F50&lt;=R$9+6,$G50&gt;=R$9),IF('Actividades'!$M34&gt;0,"R","P"),IF(AND('Actividades'!$M34&gt;0,'Actividades'!$M34&lt;=R$9+6,'Actividades'!$N34&gt;=R$9),"H",""))</x:f>
      </x:c>
      <x:c r="S50" s="27" t="str">
        <x:f>IF(AND(ISNUMBER($F50),ISNUMBER($G50),$F50&lt;=S$9+6,$G50&gt;=S$9),IF('Actividades'!$M34&gt;0,"R","P"),IF(AND('Actividades'!$M34&gt;0,'Actividades'!$M34&lt;=S$9+6,'Actividades'!$N34&gt;=S$9),"H",""))</x:f>
        <x:v>P</x:v>
      </x:c>
      <x:c r="T50" s="27" t="str">
        <x:f>IF(AND(ISNUMBER($F50),ISNUMBER($G50),$F50&lt;=T$9+6,$G50&gt;=T$9),IF('Actividades'!$M34&gt;0,"R","P"),IF(AND('Actividades'!$M34&gt;0,'Actividades'!$M34&lt;=T$9+6,'Actividades'!$N34&gt;=T$9),"H",""))</x:f>
        <x:v>P</x:v>
      </x:c>
      <x:c r="U50" s="27" t="str">
        <x:f>IF(AND(ISNUMBER($F50),ISNUMBER($G50),$F50&lt;=U$9+6,$G50&gt;=U$9),IF('Actividades'!$M34&gt;0,"R","P"),IF(AND('Actividades'!$M34&gt;0,'Actividades'!$M34&lt;=U$9+6,'Actividades'!$N34&gt;=U$9),"H",""))</x:f>
      </x:c>
      <x:c r="V50" s="27" t="str">
        <x:f>IF(AND(ISNUMBER($F50),ISNUMBER($G50),$F50&lt;=V$9+6,$G50&gt;=V$9),IF('Actividades'!$M34&gt;0,"R","P"),IF(AND('Actividades'!$M34&gt;0,'Actividades'!$M34&lt;=V$9+6,'Actividades'!$N34&gt;=V$9),"H",""))</x:f>
      </x:c>
      <x:c r="W50" s="27" t="str">
        <x:f>IF(AND(ISNUMBER($F50),ISNUMBER($G50),$F50&lt;=W$9+6,$G50&gt;=W$9),IF('Actividades'!$M34&gt;0,"R","P"),IF(AND('Actividades'!$M34&gt;0,'Actividades'!$M34&lt;=W$9+6,'Actividades'!$N34&gt;=W$9),"H",""))</x:f>
      </x:c>
      <x:c r="X50" s="27" t="str">
        <x:f>IF(AND(ISNUMBER($F50),ISNUMBER($G50),$F50&lt;=X$9+6,$G50&gt;=X$9),IF('Actividades'!$M34&gt;0,"R","P"),IF(AND('Actividades'!$M34&gt;0,'Actividades'!$M34&lt;=X$9+6,'Actividades'!$N34&gt;=X$9),"H",""))</x:f>
      </x:c>
      <x:c r="Y50" s="27" t="str">
        <x:f>IF(AND(ISNUMBER($F50),ISNUMBER($G50),$F50&lt;=Y$9+6,$G50&gt;=Y$9),IF('Actividades'!$M34&gt;0,"R","P"),IF(AND('Actividades'!$M34&gt;0,'Actividades'!$M34&lt;=Y$9+6,'Actividades'!$N34&gt;=Y$9),"H",""))</x:f>
      </x:c>
      <x:c r="Z50" s="27" t="str">
        <x:f>IF(AND(ISNUMBER($F50),ISNUMBER($G50),$F50&lt;=Z$9+6,$G50&gt;=Z$9),IF('Actividades'!$M34&gt;0,"R","P"),IF(AND('Actividades'!$M34&gt;0,'Actividades'!$M34&lt;=Z$9+6,'Actividades'!$N34&gt;=Z$9),"H",""))</x:f>
      </x:c>
    </x:row>
    <x:row r="51" ht="42" customHeight="1">
      <x:c r="A51" s="10" t="str">
        <x:f>IF('Actividades'!B35="",'Actividades'!A35,'Actividades'!B35)</x:f>
        <x:v>SCRUM-35</x:v>
      </x:c>
      <x:c r="B51" s="10" t="str">
        <x:f>'Actividades'!C35</x:f>
        <x:v>Casos de seguimiento</x:v>
      </x:c>
      <x:c r="C51" s="10" t="str">
        <x:f>IF('Actividades'!E35="No aplica","Propuesta",'Actividades'!E35)</x:f>
        <x:v>Pendiente</x:v>
      </x:c>
      <x:c r="D51" s="10" t="str">
        <x:f>'Actividades'!H35</x:f>
        <x:v>Pendiente</x:v>
      </x:c>
      <x:c r="E51" s="10" t="n">
        <x:f>IF('Actividades'!F35="","",'Actividades'!F35)</x:f>
        <x:v>8</x:v>
      </x:c>
      <x:c r="F51" s="23" t="n">
        <x:f>IF('Actividades'!O35="","",'Actividades'!O35)</x:f>
        <x:v>46314</x:v>
      </x:c>
      <x:c r="G51" s="23" t="n">
        <x:f>IF('Actividades'!P35="","",'Actividades'!P35)</x:f>
        <x:v>46319</x:v>
      </x:c>
      <x:c r="H51" s="2"/>
      <x:c r="I51" s="27" t="str">
        <x:f>IF(AND(ISNUMBER($F51),ISNUMBER($G51),$F51&lt;=I$9+6,$G51&gt;=I$9),IF('Actividades'!$M35&gt;0,"R","P"),IF(AND('Actividades'!$M35&gt;0,'Actividades'!$M35&lt;=I$9+6,'Actividades'!$N35&gt;=I$9),"H",""))</x:f>
      </x:c>
      <x:c r="J51" s="27" t="str">
        <x:f>IF(AND(ISNUMBER($F51),ISNUMBER($G51),$F51&lt;=J$9+6,$G51&gt;=J$9),IF('Actividades'!$M35&gt;0,"R","P"),IF(AND('Actividades'!$M35&gt;0,'Actividades'!$M35&lt;=J$9+6,'Actividades'!$N35&gt;=J$9),"H",""))</x:f>
      </x:c>
      <x:c r="K51" s="27" t="str">
        <x:f>IF(AND(ISNUMBER($F51),ISNUMBER($G51),$F51&lt;=K$9+6,$G51&gt;=K$9),IF('Actividades'!$M35&gt;0,"R","P"),IF(AND('Actividades'!$M35&gt;0,'Actividades'!$M35&lt;=K$9+6,'Actividades'!$N35&gt;=K$9),"H",""))</x:f>
      </x:c>
      <x:c r="L51" s="27" t="str">
        <x:f>IF(AND(ISNUMBER($F51),ISNUMBER($G51),$F51&lt;=L$9+6,$G51&gt;=L$9),IF('Actividades'!$M35&gt;0,"R","P"),IF(AND('Actividades'!$M35&gt;0,'Actividades'!$M35&lt;=L$9+6,'Actividades'!$N35&gt;=L$9),"H",""))</x:f>
      </x:c>
      <x:c r="M51" s="27" t="str">
        <x:f>IF(AND(ISNUMBER($F51),ISNUMBER($G51),$F51&lt;=M$9+6,$G51&gt;=M$9),IF('Actividades'!$M35&gt;0,"R","P"),IF(AND('Actividades'!$M35&gt;0,'Actividades'!$M35&lt;=M$9+6,'Actividades'!$N35&gt;=M$9),"H",""))</x:f>
      </x:c>
      <x:c r="N51" s="27" t="str">
        <x:f>IF(AND(ISNUMBER($F51),ISNUMBER($G51),$F51&lt;=N$9+6,$G51&gt;=N$9),IF('Actividades'!$M35&gt;0,"R","P"),IF(AND('Actividades'!$M35&gt;0,'Actividades'!$M35&lt;=N$9+6,'Actividades'!$N35&gt;=N$9),"H",""))</x:f>
      </x:c>
      <x:c r="O51" s="27" t="str">
        <x:f>IF(AND(ISNUMBER($F51),ISNUMBER($G51),$F51&lt;=O$9+6,$G51&gt;=O$9),IF('Actividades'!$M35&gt;0,"R","P"),IF(AND('Actividades'!$M35&gt;0,'Actividades'!$M35&lt;=O$9+6,'Actividades'!$N35&gt;=O$9),"H",""))</x:f>
      </x:c>
      <x:c r="P51" s="27" t="str">
        <x:f>IF(AND(ISNUMBER($F51),ISNUMBER($G51),$F51&lt;=P$9+6,$G51&gt;=P$9),IF('Actividades'!$M35&gt;0,"R","P"),IF(AND('Actividades'!$M35&gt;0,'Actividades'!$M35&lt;=P$9+6,'Actividades'!$N35&gt;=P$9),"H",""))</x:f>
      </x:c>
      <x:c r="Q51" s="27" t="str">
        <x:f>IF(AND(ISNUMBER($F51),ISNUMBER($G51),$F51&lt;=Q$9+6,$G51&gt;=Q$9),IF('Actividades'!$M35&gt;0,"R","P"),IF(AND('Actividades'!$M35&gt;0,'Actividades'!$M35&lt;=Q$9+6,'Actividades'!$N35&gt;=Q$9),"H",""))</x:f>
      </x:c>
      <x:c r="R51" s="27" t="str">
        <x:f>IF(AND(ISNUMBER($F51),ISNUMBER($G51),$F51&lt;=R$9+6,$G51&gt;=R$9),IF('Actividades'!$M35&gt;0,"R","P"),IF(AND('Actividades'!$M35&gt;0,'Actividades'!$M35&lt;=R$9+6,'Actividades'!$N35&gt;=R$9),"H",""))</x:f>
      </x:c>
      <x:c r="S51" s="27" t="str">
        <x:f>IF(AND(ISNUMBER($F51),ISNUMBER($G51),$F51&lt;=S$9+6,$G51&gt;=S$9),IF('Actividades'!$M35&gt;0,"R","P"),IF(AND('Actividades'!$M35&gt;0,'Actividades'!$M35&lt;=S$9+6,'Actividades'!$N35&gt;=S$9),"H",""))</x:f>
        <x:v>P</x:v>
      </x:c>
      <x:c r="T51" s="27" t="str">
        <x:f>IF(AND(ISNUMBER($F51),ISNUMBER($G51),$F51&lt;=T$9+6,$G51&gt;=T$9),IF('Actividades'!$M35&gt;0,"R","P"),IF(AND('Actividades'!$M35&gt;0,'Actividades'!$M35&lt;=T$9+6,'Actividades'!$N35&gt;=T$9),"H",""))</x:f>
      </x:c>
      <x:c r="U51" s="27" t="str">
        <x:f>IF(AND(ISNUMBER($F51),ISNUMBER($G51),$F51&lt;=U$9+6,$G51&gt;=U$9),IF('Actividades'!$M35&gt;0,"R","P"),IF(AND('Actividades'!$M35&gt;0,'Actividades'!$M35&lt;=U$9+6,'Actividades'!$N35&gt;=U$9),"H",""))</x:f>
      </x:c>
      <x:c r="V51" s="27" t="str">
        <x:f>IF(AND(ISNUMBER($F51),ISNUMBER($G51),$F51&lt;=V$9+6,$G51&gt;=V$9),IF('Actividades'!$M35&gt;0,"R","P"),IF(AND('Actividades'!$M35&gt;0,'Actividades'!$M35&lt;=V$9+6,'Actividades'!$N35&gt;=V$9),"H",""))</x:f>
      </x:c>
      <x:c r="W51" s="27" t="str">
        <x:f>IF(AND(ISNUMBER($F51),ISNUMBER($G51),$F51&lt;=W$9+6,$G51&gt;=W$9),IF('Actividades'!$M35&gt;0,"R","P"),IF(AND('Actividades'!$M35&gt;0,'Actividades'!$M35&lt;=W$9+6,'Actividades'!$N35&gt;=W$9),"H",""))</x:f>
      </x:c>
      <x:c r="X51" s="27" t="str">
        <x:f>IF(AND(ISNUMBER($F51),ISNUMBER($G51),$F51&lt;=X$9+6,$G51&gt;=X$9),IF('Actividades'!$M35&gt;0,"R","P"),IF(AND('Actividades'!$M35&gt;0,'Actividades'!$M35&lt;=X$9+6,'Actividades'!$N35&gt;=X$9),"H",""))</x:f>
      </x:c>
      <x:c r="Y51" s="27" t="str">
        <x:f>IF(AND(ISNUMBER($F51),ISNUMBER($G51),$F51&lt;=Y$9+6,$G51&gt;=Y$9),IF('Actividades'!$M35&gt;0,"R","P"),IF(AND('Actividades'!$M35&gt;0,'Actividades'!$M35&lt;=Y$9+6,'Actividades'!$N35&gt;=Y$9),"H",""))</x:f>
      </x:c>
      <x:c r="Z51" s="27" t="str">
        <x:f>IF(AND(ISNUMBER($F51),ISNUMBER($G51),$F51&lt;=Z$9+6,$G51&gt;=Z$9),IF('Actividades'!$M35&gt;0,"R","P"),IF(AND('Actividades'!$M35&gt;0,'Actividades'!$M35&lt;=Z$9+6,'Actividades'!$N35&gt;=Z$9),"H",""))</x:f>
      </x:c>
    </x:row>
    <x:row r="52" ht="42" customHeight="1">
      <x:c r="A52" s="21" t="str">
        <x:f>IF('Actividades'!B36="",'Actividades'!A36,'Actividades'!B36)</x:f>
        <x:v>SCRUM-36</x:v>
      </x:c>
      <x:c r="B52" s="21" t="str">
        <x:f>'Actividades'!C36</x:f>
        <x:v>Ficha integral del estudiante</x:v>
      </x:c>
      <x:c r="C52" s="21" t="str">
        <x:f>IF('Actividades'!E36="No aplica","Propuesta",'Actividades'!E36)</x:f>
        <x:v>Pendiente</x:v>
      </x:c>
      <x:c r="D52" s="21" t="str">
        <x:f>'Actividades'!H36</x:f>
        <x:v>Parcial</x:v>
      </x:c>
      <x:c r="E52" s="21" t="n">
        <x:f>IF('Actividades'!F36="","",'Actividades'!F36)</x:f>
        <x:v>8</x:v>
      </x:c>
      <x:c r="F52" s="24" t="n">
        <x:f>IF('Actividades'!O36="","",'Actividades'!O36)</x:f>
        <x:v>46314</x:v>
      </x:c>
      <x:c r="G52" s="24" t="n">
        <x:f>IF('Actividades'!P36="","",'Actividades'!P36)</x:f>
        <x:v>46326</x:v>
      </x:c>
      <x:c r="H52" s="2"/>
      <x:c r="I52" s="27" t="str">
        <x:f>IF(AND(ISNUMBER($F52),ISNUMBER($G52),$F52&lt;=I$9+6,$G52&gt;=I$9),IF('Actividades'!$M36&gt;0,"R","P"),IF(AND('Actividades'!$M36&gt;0,'Actividades'!$M36&lt;=I$9+6,'Actividades'!$N36&gt;=I$9),"H",""))</x:f>
      </x:c>
      <x:c r="J52" s="27" t="str">
        <x:f>IF(AND(ISNUMBER($F52),ISNUMBER($G52),$F52&lt;=J$9+6,$G52&gt;=J$9),IF('Actividades'!$M36&gt;0,"R","P"),IF(AND('Actividades'!$M36&gt;0,'Actividades'!$M36&lt;=J$9+6,'Actividades'!$N36&gt;=J$9),"H",""))</x:f>
      </x:c>
      <x:c r="K52" s="27" t="str">
        <x:f>IF(AND(ISNUMBER($F52),ISNUMBER($G52),$F52&lt;=K$9+6,$G52&gt;=K$9),IF('Actividades'!$M36&gt;0,"R","P"),IF(AND('Actividades'!$M36&gt;0,'Actividades'!$M36&lt;=K$9+6,'Actividades'!$N36&gt;=K$9),"H",""))</x:f>
      </x:c>
      <x:c r="L52" s="27" t="str">
        <x:f>IF(AND(ISNUMBER($F52),ISNUMBER($G52),$F52&lt;=L$9+6,$G52&gt;=L$9),IF('Actividades'!$M36&gt;0,"R","P"),IF(AND('Actividades'!$M36&gt;0,'Actividades'!$M36&lt;=L$9+6,'Actividades'!$N36&gt;=L$9),"H",""))</x:f>
      </x:c>
      <x:c r="M52" s="27" t="str">
        <x:f>IF(AND(ISNUMBER($F52),ISNUMBER($G52),$F52&lt;=M$9+6,$G52&gt;=M$9),IF('Actividades'!$M36&gt;0,"R","P"),IF(AND('Actividades'!$M36&gt;0,'Actividades'!$M36&lt;=M$9+6,'Actividades'!$N36&gt;=M$9),"H",""))</x:f>
      </x:c>
      <x:c r="N52" s="27" t="str">
        <x:f>IF(AND(ISNUMBER($F52),ISNUMBER($G52),$F52&lt;=N$9+6,$G52&gt;=N$9),IF('Actividades'!$M36&gt;0,"R","P"),IF(AND('Actividades'!$M36&gt;0,'Actividades'!$M36&lt;=N$9+6,'Actividades'!$N36&gt;=N$9),"H",""))</x:f>
      </x:c>
      <x:c r="O52" s="27" t="str">
        <x:f>IF(AND(ISNUMBER($F52),ISNUMBER($G52),$F52&lt;=O$9+6,$G52&gt;=O$9),IF('Actividades'!$M36&gt;0,"R","P"),IF(AND('Actividades'!$M36&gt;0,'Actividades'!$M36&lt;=O$9+6,'Actividades'!$N36&gt;=O$9),"H",""))</x:f>
      </x:c>
      <x:c r="P52" s="27" t="str">
        <x:f>IF(AND(ISNUMBER($F52),ISNUMBER($G52),$F52&lt;=P$9+6,$G52&gt;=P$9),IF('Actividades'!$M36&gt;0,"R","P"),IF(AND('Actividades'!$M36&gt;0,'Actividades'!$M36&lt;=P$9+6,'Actividades'!$N36&gt;=P$9),"H",""))</x:f>
      </x:c>
      <x:c r="Q52" s="27" t="str">
        <x:f>IF(AND(ISNUMBER($F52),ISNUMBER($G52),$F52&lt;=Q$9+6,$G52&gt;=Q$9),IF('Actividades'!$M36&gt;0,"R","P"),IF(AND('Actividades'!$M36&gt;0,'Actividades'!$M36&lt;=Q$9+6,'Actividades'!$N36&gt;=Q$9),"H",""))</x:f>
      </x:c>
      <x:c r="R52" s="27" t="str">
        <x:f>IF(AND(ISNUMBER($F52),ISNUMBER($G52),$F52&lt;=R$9+6,$G52&gt;=R$9),IF('Actividades'!$M36&gt;0,"R","P"),IF(AND('Actividades'!$M36&gt;0,'Actividades'!$M36&lt;=R$9+6,'Actividades'!$N36&gt;=R$9),"H",""))</x:f>
      </x:c>
      <x:c r="S52" s="27" t="str">
        <x:f>IF(AND(ISNUMBER($F52),ISNUMBER($G52),$F52&lt;=S$9+6,$G52&gt;=S$9),IF('Actividades'!$M36&gt;0,"R","P"),IF(AND('Actividades'!$M36&gt;0,'Actividades'!$M36&lt;=S$9+6,'Actividades'!$N36&gt;=S$9),"H",""))</x:f>
        <x:v>P</x:v>
      </x:c>
      <x:c r="T52" s="27" t="str">
        <x:f>IF(AND(ISNUMBER($F52),ISNUMBER($G52),$F52&lt;=T$9+6,$G52&gt;=T$9),IF('Actividades'!$M36&gt;0,"R","P"),IF(AND('Actividades'!$M36&gt;0,'Actividades'!$M36&lt;=T$9+6,'Actividades'!$N36&gt;=T$9),"H",""))</x:f>
        <x:v>P</x:v>
      </x:c>
      <x:c r="U52" s="27" t="str">
        <x:f>IF(AND(ISNUMBER($F52),ISNUMBER($G52),$F52&lt;=U$9+6,$G52&gt;=U$9),IF('Actividades'!$M36&gt;0,"R","P"),IF(AND('Actividades'!$M36&gt;0,'Actividades'!$M36&lt;=U$9+6,'Actividades'!$N36&gt;=U$9),"H",""))</x:f>
      </x:c>
      <x:c r="V52" s="27" t="str">
        <x:f>IF(AND(ISNUMBER($F52),ISNUMBER($G52),$F52&lt;=V$9+6,$G52&gt;=V$9),IF('Actividades'!$M36&gt;0,"R","P"),IF(AND('Actividades'!$M36&gt;0,'Actividades'!$M36&lt;=V$9+6,'Actividades'!$N36&gt;=V$9),"H",""))</x:f>
      </x:c>
      <x:c r="W52" s="27" t="str">
        <x:f>IF(AND(ISNUMBER($F52),ISNUMBER($G52),$F52&lt;=W$9+6,$G52&gt;=W$9),IF('Actividades'!$M36&gt;0,"R","P"),IF(AND('Actividades'!$M36&gt;0,'Actividades'!$M36&lt;=W$9+6,'Actividades'!$N36&gt;=W$9),"H",""))</x:f>
      </x:c>
      <x:c r="X52" s="27" t="str">
        <x:f>IF(AND(ISNUMBER($F52),ISNUMBER($G52),$F52&lt;=X$9+6,$G52&gt;=X$9),IF('Actividades'!$M36&gt;0,"R","P"),IF(AND('Actividades'!$M36&gt;0,'Actividades'!$M36&lt;=X$9+6,'Actividades'!$N36&gt;=X$9),"H",""))</x:f>
      </x:c>
      <x:c r="Y52" s="27" t="str">
        <x:f>IF(AND(ISNUMBER($F52),ISNUMBER($G52),$F52&lt;=Y$9+6,$G52&gt;=Y$9),IF('Actividades'!$M36&gt;0,"R","P"),IF(AND('Actividades'!$M36&gt;0,'Actividades'!$M36&lt;=Y$9+6,'Actividades'!$N36&gt;=Y$9),"H",""))</x:f>
      </x:c>
      <x:c r="Z52" s="27" t="str">
        <x:f>IF(AND(ISNUMBER($F52),ISNUMBER($G52),$F52&lt;=Z$9+6,$G52&gt;=Z$9),IF('Actividades'!$M36&gt;0,"R","P"),IF(AND('Actividades'!$M36&gt;0,'Actividades'!$M36&lt;=Z$9+6,'Actividades'!$N36&gt;=Z$9),"H",""))</x:f>
      </x:c>
    </x:row>
    <x:row r="53" ht="42" customHeight="1">
      <x:c r="A53" s="10" t="str">
        <x:f>IF('Actividades'!B37="",'Actividades'!A37,'Actividades'!B37)</x:f>
        <x:v>SCRUM-37</x:v>
      </x:c>
      <x:c r="B53" s="10" t="str">
        <x:f>'Actividades'!C37</x:f>
        <x:v>Notificaciones</x:v>
      </x:c>
      <x:c r="C53" s="10" t="str">
        <x:f>IF('Actividades'!E37="No aplica","Propuesta",'Actividades'!E37)</x:f>
        <x:v>Pendiente</x:v>
      </x:c>
      <x:c r="D53" s="10" t="str">
        <x:f>'Actividades'!H37</x:f>
        <x:v>Pendiente</x:v>
      </x:c>
      <x:c r="E53" s="10" t="n">
        <x:f>IF('Actividades'!F37="","",'Actividades'!F37)</x:f>
        <x:v>5</x:v>
      </x:c>
      <x:c r="F53" s="23" t="n">
        <x:f>IF('Actividades'!O37="","",'Actividades'!O37)</x:f>
        <x:v>46321</x:v>
      </x:c>
      <x:c r="G53" s="23" t="n">
        <x:f>IF('Actividades'!P37="","",'Actividades'!P37)</x:f>
        <x:v>46326</x:v>
      </x:c>
      <x:c r="H53" s="2"/>
      <x:c r="I53" s="27" t="str">
        <x:f>IF(AND(ISNUMBER($F53),ISNUMBER($G53),$F53&lt;=I$9+6,$G53&gt;=I$9),IF('Actividades'!$M37&gt;0,"R","P"),IF(AND('Actividades'!$M37&gt;0,'Actividades'!$M37&lt;=I$9+6,'Actividades'!$N37&gt;=I$9),"H",""))</x:f>
      </x:c>
      <x:c r="J53" s="27" t="str">
        <x:f>IF(AND(ISNUMBER($F53),ISNUMBER($G53),$F53&lt;=J$9+6,$G53&gt;=J$9),IF('Actividades'!$M37&gt;0,"R","P"),IF(AND('Actividades'!$M37&gt;0,'Actividades'!$M37&lt;=J$9+6,'Actividades'!$N37&gt;=J$9),"H",""))</x:f>
      </x:c>
      <x:c r="K53" s="27" t="str">
        <x:f>IF(AND(ISNUMBER($F53),ISNUMBER($G53),$F53&lt;=K$9+6,$G53&gt;=K$9),IF('Actividades'!$M37&gt;0,"R","P"),IF(AND('Actividades'!$M37&gt;0,'Actividades'!$M37&lt;=K$9+6,'Actividades'!$N37&gt;=K$9),"H",""))</x:f>
      </x:c>
      <x:c r="L53" s="27" t="str">
        <x:f>IF(AND(ISNUMBER($F53),ISNUMBER($G53),$F53&lt;=L$9+6,$G53&gt;=L$9),IF('Actividades'!$M37&gt;0,"R","P"),IF(AND('Actividades'!$M37&gt;0,'Actividades'!$M37&lt;=L$9+6,'Actividades'!$N37&gt;=L$9),"H",""))</x:f>
      </x:c>
      <x:c r="M53" s="27" t="str">
        <x:f>IF(AND(ISNUMBER($F53),ISNUMBER($G53),$F53&lt;=M$9+6,$G53&gt;=M$9),IF('Actividades'!$M37&gt;0,"R","P"),IF(AND('Actividades'!$M37&gt;0,'Actividades'!$M37&lt;=M$9+6,'Actividades'!$N37&gt;=M$9),"H",""))</x:f>
      </x:c>
      <x:c r="N53" s="27" t="str">
        <x:f>IF(AND(ISNUMBER($F53),ISNUMBER($G53),$F53&lt;=N$9+6,$G53&gt;=N$9),IF('Actividades'!$M37&gt;0,"R","P"),IF(AND('Actividades'!$M37&gt;0,'Actividades'!$M37&lt;=N$9+6,'Actividades'!$N37&gt;=N$9),"H",""))</x:f>
      </x:c>
      <x:c r="O53" s="27" t="str">
        <x:f>IF(AND(ISNUMBER($F53),ISNUMBER($G53),$F53&lt;=O$9+6,$G53&gt;=O$9),IF('Actividades'!$M37&gt;0,"R","P"),IF(AND('Actividades'!$M37&gt;0,'Actividades'!$M37&lt;=O$9+6,'Actividades'!$N37&gt;=O$9),"H",""))</x:f>
      </x:c>
      <x:c r="P53" s="27" t="str">
        <x:f>IF(AND(ISNUMBER($F53),ISNUMBER($G53),$F53&lt;=P$9+6,$G53&gt;=P$9),IF('Actividades'!$M37&gt;0,"R","P"),IF(AND('Actividades'!$M37&gt;0,'Actividades'!$M37&lt;=P$9+6,'Actividades'!$N37&gt;=P$9),"H",""))</x:f>
      </x:c>
      <x:c r="Q53" s="27" t="str">
        <x:f>IF(AND(ISNUMBER($F53),ISNUMBER($G53),$F53&lt;=Q$9+6,$G53&gt;=Q$9),IF('Actividades'!$M37&gt;0,"R","P"),IF(AND('Actividades'!$M37&gt;0,'Actividades'!$M37&lt;=Q$9+6,'Actividades'!$N37&gt;=Q$9),"H",""))</x:f>
      </x:c>
      <x:c r="R53" s="27" t="str">
        <x:f>IF(AND(ISNUMBER($F53),ISNUMBER($G53),$F53&lt;=R$9+6,$G53&gt;=R$9),IF('Actividades'!$M37&gt;0,"R","P"),IF(AND('Actividades'!$M37&gt;0,'Actividades'!$M37&lt;=R$9+6,'Actividades'!$N37&gt;=R$9),"H",""))</x:f>
      </x:c>
      <x:c r="S53" s="27" t="str">
        <x:f>IF(AND(ISNUMBER($F53),ISNUMBER($G53),$F53&lt;=S$9+6,$G53&gt;=S$9),IF('Actividades'!$M37&gt;0,"R","P"),IF(AND('Actividades'!$M37&gt;0,'Actividades'!$M37&lt;=S$9+6,'Actividades'!$N37&gt;=S$9),"H",""))</x:f>
      </x:c>
      <x:c r="T53" s="27" t="str">
        <x:f>IF(AND(ISNUMBER($F53),ISNUMBER($G53),$F53&lt;=T$9+6,$G53&gt;=T$9),IF('Actividades'!$M37&gt;0,"R","P"),IF(AND('Actividades'!$M37&gt;0,'Actividades'!$M37&lt;=T$9+6,'Actividades'!$N37&gt;=T$9),"H",""))</x:f>
        <x:v>P</x:v>
      </x:c>
      <x:c r="U53" s="27" t="str">
        <x:f>IF(AND(ISNUMBER($F53),ISNUMBER($G53),$F53&lt;=U$9+6,$G53&gt;=U$9),IF('Actividades'!$M37&gt;0,"R","P"),IF(AND('Actividades'!$M37&gt;0,'Actividades'!$M37&lt;=U$9+6,'Actividades'!$N37&gt;=U$9),"H",""))</x:f>
      </x:c>
      <x:c r="V53" s="27" t="str">
        <x:f>IF(AND(ISNUMBER($F53),ISNUMBER($G53),$F53&lt;=V$9+6,$G53&gt;=V$9),IF('Actividades'!$M37&gt;0,"R","P"),IF(AND('Actividades'!$M37&gt;0,'Actividades'!$M37&lt;=V$9+6,'Actividades'!$N37&gt;=V$9),"H",""))</x:f>
      </x:c>
      <x:c r="W53" s="27" t="str">
        <x:f>IF(AND(ISNUMBER($F53),ISNUMBER($G53),$F53&lt;=W$9+6,$G53&gt;=W$9),IF('Actividades'!$M37&gt;0,"R","P"),IF(AND('Actividades'!$M37&gt;0,'Actividades'!$M37&lt;=W$9+6,'Actividades'!$N37&gt;=W$9),"H",""))</x:f>
      </x:c>
      <x:c r="X53" s="27" t="str">
        <x:f>IF(AND(ISNUMBER($F53),ISNUMBER($G53),$F53&lt;=X$9+6,$G53&gt;=X$9),IF('Actividades'!$M37&gt;0,"R","P"),IF(AND('Actividades'!$M37&gt;0,'Actividades'!$M37&lt;=X$9+6,'Actividades'!$N37&gt;=X$9),"H",""))</x:f>
      </x:c>
      <x:c r="Y53" s="27" t="str">
        <x:f>IF(AND(ISNUMBER($F53),ISNUMBER($G53),$F53&lt;=Y$9+6,$G53&gt;=Y$9),IF('Actividades'!$M37&gt;0,"R","P"),IF(AND('Actividades'!$M37&gt;0,'Actividades'!$M37&lt;=Y$9+6,'Actividades'!$N37&gt;=Y$9),"H",""))</x:f>
      </x:c>
      <x:c r="Z53" s="27" t="str">
        <x:f>IF(AND(ISNUMBER($F53),ISNUMBER($G53),$F53&lt;=Z$9+6,$G53&gt;=Z$9),IF('Actividades'!$M37&gt;0,"R","P"),IF(AND('Actividades'!$M37&gt;0,'Actividades'!$M37&lt;=Z$9+6,'Actividades'!$N37&gt;=Z$9),"H",""))</x:f>
      </x:c>
    </x:row>
    <x:row r="54" ht="42" customHeight="1">
      <x:c r="A54" s="21" t="str">
        <x:f>IF('Actividades'!B38="",'Actividades'!A38,'Actividades'!B38)</x:f>
        <x:v>SCRUM-48</x:v>
      </x:c>
      <x:c r="B54" s="21" t="str">
        <x:f>'Actividades'!C38</x:f>
        <x:v>Gestión de apoderados</x:v>
      </x:c>
      <x:c r="C54" s="21" t="str">
        <x:f>IF('Actividades'!E38="No aplica","Propuesta",'Actividades'!E38)</x:f>
        <x:v>Pendiente</x:v>
      </x:c>
      <x:c r="D54" s="21" t="str">
        <x:f>'Actividades'!H38</x:f>
        <x:v>Parcial</x:v>
      </x:c>
      <x:c r="E54" s="21" t="n">
        <x:f>IF('Actividades'!F38="","",'Actividades'!F38)</x:f>
        <x:v>5</x:v>
      </x:c>
      <x:c r="F54" s="24" t="n">
        <x:f>IF('Actividades'!O38="","",'Actividades'!O38)</x:f>
        <x:v>46314</x:v>
      </x:c>
      <x:c r="G54" s="24" t="n">
        <x:f>IF('Actividades'!P38="","",'Actividades'!P38)</x:f>
        <x:v>46319</x:v>
      </x:c>
      <x:c r="H54" s="2"/>
      <x:c r="I54" s="27" t="str">
        <x:f>IF(AND(ISNUMBER($F54),ISNUMBER($G54),$F54&lt;=I$9+6,$G54&gt;=I$9),IF('Actividades'!$M38&gt;0,"R","P"),IF(AND('Actividades'!$M38&gt;0,'Actividades'!$M38&lt;=I$9+6,'Actividades'!$N38&gt;=I$9),"H",""))</x:f>
      </x:c>
      <x:c r="J54" s="27" t="str">
        <x:f>IF(AND(ISNUMBER($F54),ISNUMBER($G54),$F54&lt;=J$9+6,$G54&gt;=J$9),IF('Actividades'!$M38&gt;0,"R","P"),IF(AND('Actividades'!$M38&gt;0,'Actividades'!$M38&lt;=J$9+6,'Actividades'!$N38&gt;=J$9),"H",""))</x:f>
      </x:c>
      <x:c r="K54" s="27" t="str">
        <x:f>IF(AND(ISNUMBER($F54),ISNUMBER($G54),$F54&lt;=K$9+6,$G54&gt;=K$9),IF('Actividades'!$M38&gt;0,"R","P"),IF(AND('Actividades'!$M38&gt;0,'Actividades'!$M38&lt;=K$9+6,'Actividades'!$N38&gt;=K$9),"H",""))</x:f>
      </x:c>
      <x:c r="L54" s="27" t="str">
        <x:f>IF(AND(ISNUMBER($F54),ISNUMBER($G54),$F54&lt;=L$9+6,$G54&gt;=L$9),IF('Actividades'!$M38&gt;0,"R","P"),IF(AND('Actividades'!$M38&gt;0,'Actividades'!$M38&lt;=L$9+6,'Actividades'!$N38&gt;=L$9),"H",""))</x:f>
      </x:c>
      <x:c r="M54" s="27" t="str">
        <x:f>IF(AND(ISNUMBER($F54),ISNUMBER($G54),$F54&lt;=M$9+6,$G54&gt;=M$9),IF('Actividades'!$M38&gt;0,"R","P"),IF(AND('Actividades'!$M38&gt;0,'Actividades'!$M38&lt;=M$9+6,'Actividades'!$N38&gt;=M$9),"H",""))</x:f>
      </x:c>
      <x:c r="N54" s="27" t="str">
        <x:f>IF(AND(ISNUMBER($F54),ISNUMBER($G54),$F54&lt;=N$9+6,$G54&gt;=N$9),IF('Actividades'!$M38&gt;0,"R","P"),IF(AND('Actividades'!$M38&gt;0,'Actividades'!$M38&lt;=N$9+6,'Actividades'!$N38&gt;=N$9),"H",""))</x:f>
      </x:c>
      <x:c r="O54" s="27" t="str">
        <x:f>IF(AND(ISNUMBER($F54),ISNUMBER($G54),$F54&lt;=O$9+6,$G54&gt;=O$9),IF('Actividades'!$M38&gt;0,"R","P"),IF(AND('Actividades'!$M38&gt;0,'Actividades'!$M38&lt;=O$9+6,'Actividades'!$N38&gt;=O$9),"H",""))</x:f>
      </x:c>
      <x:c r="P54" s="27" t="str">
        <x:f>IF(AND(ISNUMBER($F54),ISNUMBER($G54),$F54&lt;=P$9+6,$G54&gt;=P$9),IF('Actividades'!$M38&gt;0,"R","P"),IF(AND('Actividades'!$M38&gt;0,'Actividades'!$M38&lt;=P$9+6,'Actividades'!$N38&gt;=P$9),"H",""))</x:f>
      </x:c>
      <x:c r="Q54" s="27" t="str">
        <x:f>IF(AND(ISNUMBER($F54),ISNUMBER($G54),$F54&lt;=Q$9+6,$G54&gt;=Q$9),IF('Actividades'!$M38&gt;0,"R","P"),IF(AND('Actividades'!$M38&gt;0,'Actividades'!$M38&lt;=Q$9+6,'Actividades'!$N38&gt;=Q$9),"H",""))</x:f>
      </x:c>
      <x:c r="R54" s="27" t="str">
        <x:f>IF(AND(ISNUMBER($F54),ISNUMBER($G54),$F54&lt;=R$9+6,$G54&gt;=R$9),IF('Actividades'!$M38&gt;0,"R","P"),IF(AND('Actividades'!$M38&gt;0,'Actividades'!$M38&lt;=R$9+6,'Actividades'!$N38&gt;=R$9),"H",""))</x:f>
      </x:c>
      <x:c r="S54" s="27" t="str">
        <x:f>IF(AND(ISNUMBER($F54),ISNUMBER($G54),$F54&lt;=S$9+6,$G54&gt;=S$9),IF('Actividades'!$M38&gt;0,"R","P"),IF(AND('Actividades'!$M38&gt;0,'Actividades'!$M38&lt;=S$9+6,'Actividades'!$N38&gt;=S$9),"H",""))</x:f>
        <x:v>P</x:v>
      </x:c>
      <x:c r="T54" s="27" t="str">
        <x:f>IF(AND(ISNUMBER($F54),ISNUMBER($G54),$F54&lt;=T$9+6,$G54&gt;=T$9),IF('Actividades'!$M38&gt;0,"R","P"),IF(AND('Actividades'!$M38&gt;0,'Actividades'!$M38&lt;=T$9+6,'Actividades'!$N38&gt;=T$9),"H",""))</x:f>
      </x:c>
      <x:c r="U54" s="27" t="str">
        <x:f>IF(AND(ISNUMBER($F54),ISNUMBER($G54),$F54&lt;=U$9+6,$G54&gt;=U$9),IF('Actividades'!$M38&gt;0,"R","P"),IF(AND('Actividades'!$M38&gt;0,'Actividades'!$M38&lt;=U$9+6,'Actividades'!$N38&gt;=U$9),"H",""))</x:f>
      </x:c>
      <x:c r="V54" s="27" t="str">
        <x:f>IF(AND(ISNUMBER($F54),ISNUMBER($G54),$F54&lt;=V$9+6,$G54&gt;=V$9),IF('Actividades'!$M38&gt;0,"R","P"),IF(AND('Actividades'!$M38&gt;0,'Actividades'!$M38&lt;=V$9+6,'Actividades'!$N38&gt;=V$9),"H",""))</x:f>
      </x:c>
      <x:c r="W54" s="27" t="str">
        <x:f>IF(AND(ISNUMBER($F54),ISNUMBER($G54),$F54&lt;=W$9+6,$G54&gt;=W$9),IF('Actividades'!$M38&gt;0,"R","P"),IF(AND('Actividades'!$M38&gt;0,'Actividades'!$M38&lt;=W$9+6,'Actividades'!$N38&gt;=W$9),"H",""))</x:f>
      </x:c>
      <x:c r="X54" s="27" t="str">
        <x:f>IF(AND(ISNUMBER($F54),ISNUMBER($G54),$F54&lt;=X$9+6,$G54&gt;=X$9),IF('Actividades'!$M38&gt;0,"R","P"),IF(AND('Actividades'!$M38&gt;0,'Actividades'!$M38&lt;=X$9+6,'Actividades'!$N38&gt;=X$9),"H",""))</x:f>
      </x:c>
      <x:c r="Y54" s="27" t="str">
        <x:f>IF(AND(ISNUMBER($F54),ISNUMBER($G54),$F54&lt;=Y$9+6,$G54&gt;=Y$9),IF('Actividades'!$M38&gt;0,"R","P"),IF(AND('Actividades'!$M38&gt;0,'Actividades'!$M38&lt;=Y$9+6,'Actividades'!$N38&gt;=Y$9),"H",""))</x:f>
      </x:c>
      <x:c r="Z54" s="27" t="str">
        <x:f>IF(AND(ISNUMBER($F54),ISNUMBER($G54),$F54&lt;=Z$9+6,$G54&gt;=Z$9),IF('Actividades'!$M38&gt;0,"R","P"),IF(AND('Actividades'!$M38&gt;0,'Actividades'!$M38&lt;=Z$9+6,'Actividades'!$N38&gt;=Z$9),"H",""))</x:f>
      </x:c>
    </x:row>
    <x:row r="55">
      <x:c r="A55" s="2"/>
      <x:c r="B55" s="2"/>
      <x:c r="C55" s="2"/>
      <x:c r="D55" s="2"/>
      <x:c r="E55" s="2"/>
      <x:c r="F55" s="25"/>
      <x:c r="G55" s="25"/>
      <x:c r="H55" s="2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24" customHeight="1">
      <x:c r="A56" s="7" t="str">
        <x:v>Sprint 6 planificado</x:v>
      </x:c>
      <x:c r="B56" s="7"/>
      <x:c r="C56" s="7"/>
      <x:c r="D56" s="7"/>
      <x:c r="E56" s="7" t="n">
        <x:f>SUMIFS('Actividades'!$F$7:$F$51,'Actividades'!$G$7:$G$51,A56)</x:f>
        <x:v>37</x:v>
      </x:c>
      <x:c r="F56" s="22"/>
      <x:c r="G56" s="22"/>
      <x:c r="H56" s="7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42" customHeight="1">
      <x:c r="A57" s="10" t="str">
        <x:f>IF('Actividades'!B39="",'Actividades'!A39,'Actividades'!B39)</x:f>
        <x:v>GEST-S6</x:v>
      </x:c>
      <x:c r="B57" s="10" t="str">
        <x:f>'Actividades'!C39</x:f>
        <x:v>Planificar, coordinar y revisar Sprint 6</x:v>
      </x:c>
      <x:c r="C57" s="10" t="str">
        <x:f>IF('Actividades'!E39="No aplica","Propuesta",'Actividades'!E39)</x:f>
        <x:v>Propuesta</x:v>
      </x:c>
      <x:c r="D57" s="10" t="str">
        <x:f>'Actividades'!H39</x:f>
        <x:v>Pendiente</x:v>
      </x:c>
      <x:c r="E57" s="10" t="str">
        <x:f>IF('Actividades'!F39="","",'Actividades'!F39)</x:f>
      </x:c>
      <x:c r="F57" s="23" t="n">
        <x:f>IF('Actividades'!O39="","",'Actividades'!O39)</x:f>
        <x:v>46328</x:v>
      </x:c>
      <x:c r="G57" s="23" t="n">
        <x:f>IF('Actividades'!P39="","",'Actividades'!P39)</x:f>
        <x:v>46340</x:v>
      </x:c>
      <x:c r="H57" s="2"/>
      <x:c r="I57" s="27" t="str">
        <x:f>IF(AND(ISNUMBER($F57),ISNUMBER($G57),$F57&lt;=I$9+6,$G57&gt;=I$9),IF('Actividades'!$M39&gt;0,"R","P"),IF(AND('Actividades'!$M39&gt;0,'Actividades'!$M39&lt;=I$9+6,'Actividades'!$N39&gt;=I$9),"H",""))</x:f>
      </x:c>
      <x:c r="J57" s="27" t="str">
        <x:f>IF(AND(ISNUMBER($F57),ISNUMBER($G57),$F57&lt;=J$9+6,$G57&gt;=J$9),IF('Actividades'!$M39&gt;0,"R","P"),IF(AND('Actividades'!$M39&gt;0,'Actividades'!$M39&lt;=J$9+6,'Actividades'!$N39&gt;=J$9),"H",""))</x:f>
      </x:c>
      <x:c r="K57" s="27" t="str">
        <x:f>IF(AND(ISNUMBER($F57),ISNUMBER($G57),$F57&lt;=K$9+6,$G57&gt;=K$9),IF('Actividades'!$M39&gt;0,"R","P"),IF(AND('Actividades'!$M39&gt;0,'Actividades'!$M39&lt;=K$9+6,'Actividades'!$N39&gt;=K$9),"H",""))</x:f>
      </x:c>
      <x:c r="L57" s="27" t="str">
        <x:f>IF(AND(ISNUMBER($F57),ISNUMBER($G57),$F57&lt;=L$9+6,$G57&gt;=L$9),IF('Actividades'!$M39&gt;0,"R","P"),IF(AND('Actividades'!$M39&gt;0,'Actividades'!$M39&lt;=L$9+6,'Actividades'!$N39&gt;=L$9),"H",""))</x:f>
      </x:c>
      <x:c r="M57" s="27" t="str">
        <x:f>IF(AND(ISNUMBER($F57),ISNUMBER($G57),$F57&lt;=M$9+6,$G57&gt;=M$9),IF('Actividades'!$M39&gt;0,"R","P"),IF(AND('Actividades'!$M39&gt;0,'Actividades'!$M39&lt;=M$9+6,'Actividades'!$N39&gt;=M$9),"H",""))</x:f>
      </x:c>
      <x:c r="N57" s="27" t="str">
        <x:f>IF(AND(ISNUMBER($F57),ISNUMBER($G57),$F57&lt;=N$9+6,$G57&gt;=N$9),IF('Actividades'!$M39&gt;0,"R","P"),IF(AND('Actividades'!$M39&gt;0,'Actividades'!$M39&lt;=N$9+6,'Actividades'!$N39&gt;=N$9),"H",""))</x:f>
      </x:c>
      <x:c r="O57" s="27" t="str">
        <x:f>IF(AND(ISNUMBER($F57),ISNUMBER($G57),$F57&lt;=O$9+6,$G57&gt;=O$9),IF('Actividades'!$M39&gt;0,"R","P"),IF(AND('Actividades'!$M39&gt;0,'Actividades'!$M39&lt;=O$9+6,'Actividades'!$N39&gt;=O$9),"H",""))</x:f>
      </x:c>
      <x:c r="P57" s="27" t="str">
        <x:f>IF(AND(ISNUMBER($F57),ISNUMBER($G57),$F57&lt;=P$9+6,$G57&gt;=P$9),IF('Actividades'!$M39&gt;0,"R","P"),IF(AND('Actividades'!$M39&gt;0,'Actividades'!$M39&lt;=P$9+6,'Actividades'!$N39&gt;=P$9),"H",""))</x:f>
      </x:c>
      <x:c r="Q57" s="27" t="str">
        <x:f>IF(AND(ISNUMBER($F57),ISNUMBER($G57),$F57&lt;=Q$9+6,$G57&gt;=Q$9),IF('Actividades'!$M39&gt;0,"R","P"),IF(AND('Actividades'!$M39&gt;0,'Actividades'!$M39&lt;=Q$9+6,'Actividades'!$N39&gt;=Q$9),"H",""))</x:f>
      </x:c>
      <x:c r="R57" s="27" t="str">
        <x:f>IF(AND(ISNUMBER($F57),ISNUMBER($G57),$F57&lt;=R$9+6,$G57&gt;=R$9),IF('Actividades'!$M39&gt;0,"R","P"),IF(AND('Actividades'!$M39&gt;0,'Actividades'!$M39&lt;=R$9+6,'Actividades'!$N39&gt;=R$9),"H",""))</x:f>
      </x:c>
      <x:c r="S57" s="27" t="str">
        <x:f>IF(AND(ISNUMBER($F57),ISNUMBER($G57),$F57&lt;=S$9+6,$G57&gt;=S$9),IF('Actividades'!$M39&gt;0,"R","P"),IF(AND('Actividades'!$M39&gt;0,'Actividades'!$M39&lt;=S$9+6,'Actividades'!$N39&gt;=S$9),"H",""))</x:f>
      </x:c>
      <x:c r="T57" s="27" t="str">
        <x:f>IF(AND(ISNUMBER($F57),ISNUMBER($G57),$F57&lt;=T$9+6,$G57&gt;=T$9),IF('Actividades'!$M39&gt;0,"R","P"),IF(AND('Actividades'!$M39&gt;0,'Actividades'!$M39&lt;=T$9+6,'Actividades'!$N39&gt;=T$9),"H",""))</x:f>
      </x:c>
      <x:c r="U57" s="27" t="str">
        <x:f>IF(AND(ISNUMBER($F57),ISNUMBER($G57),$F57&lt;=U$9+6,$G57&gt;=U$9),IF('Actividades'!$M39&gt;0,"R","P"),IF(AND('Actividades'!$M39&gt;0,'Actividades'!$M39&lt;=U$9+6,'Actividades'!$N39&gt;=U$9),"H",""))</x:f>
        <x:v>P</x:v>
      </x:c>
      <x:c r="V57" s="27" t="str">
        <x:f>IF(AND(ISNUMBER($F57),ISNUMBER($G57),$F57&lt;=V$9+6,$G57&gt;=V$9),IF('Actividades'!$M39&gt;0,"R","P"),IF(AND('Actividades'!$M39&gt;0,'Actividades'!$M39&lt;=V$9+6,'Actividades'!$N39&gt;=V$9),"H",""))</x:f>
        <x:v>P</x:v>
      </x:c>
      <x:c r="W57" s="27" t="str">
        <x:f>IF(AND(ISNUMBER($F57),ISNUMBER($G57),$F57&lt;=W$9+6,$G57&gt;=W$9),IF('Actividades'!$M39&gt;0,"R","P"),IF(AND('Actividades'!$M39&gt;0,'Actividades'!$M39&lt;=W$9+6,'Actividades'!$N39&gt;=W$9),"H",""))</x:f>
      </x:c>
      <x:c r="X57" s="27" t="str">
        <x:f>IF(AND(ISNUMBER($F57),ISNUMBER($G57),$F57&lt;=X$9+6,$G57&gt;=X$9),IF('Actividades'!$M39&gt;0,"R","P"),IF(AND('Actividades'!$M39&gt;0,'Actividades'!$M39&lt;=X$9+6,'Actividades'!$N39&gt;=X$9),"H",""))</x:f>
      </x:c>
      <x:c r="Y57" s="27" t="str">
        <x:f>IF(AND(ISNUMBER($F57),ISNUMBER($G57),$F57&lt;=Y$9+6,$G57&gt;=Y$9),IF('Actividades'!$M39&gt;0,"R","P"),IF(AND('Actividades'!$M39&gt;0,'Actividades'!$M39&lt;=Y$9+6,'Actividades'!$N39&gt;=Y$9),"H",""))</x:f>
      </x:c>
      <x:c r="Z57" s="27" t="str">
        <x:f>IF(AND(ISNUMBER($F57),ISNUMBER($G57),$F57&lt;=Z$9+6,$G57&gt;=Z$9),IF('Actividades'!$M39&gt;0,"R","P"),IF(AND('Actividades'!$M39&gt;0,'Actividades'!$M39&lt;=Z$9+6,'Actividades'!$N39&gt;=Z$9),"H",""))</x:f>
      </x:c>
    </x:row>
    <x:row r="58" ht="42" customHeight="1">
      <x:c r="A58" s="21" t="str">
        <x:f>IF('Actividades'!B40="",'Actividades'!A40,'Actividades'!B40)</x:f>
        <x:v>OPS-02</x:v>
      </x:c>
      <x:c r="B58" s="21" t="str">
        <x:f>'Actividades'!C40</x:f>
        <x:v>Respaldar y restaurar en ambiente aislado</x:v>
      </x:c>
      <x:c r="C58" s="21" t="str">
        <x:f>IF('Actividades'!E40="No aplica","Propuesta",'Actividades'!E40)</x:f>
        <x:v>Propuesta</x:v>
      </x:c>
      <x:c r="D58" s="21" t="str">
        <x:f>'Actividades'!H40</x:f>
        <x:v>Pendiente</x:v>
      </x:c>
      <x:c r="E58" s="21" t="str">
        <x:f>IF('Actividades'!F40="","",'Actividades'!F40)</x:f>
      </x:c>
      <x:c r="F58" s="24" t="n">
        <x:f>IF('Actividades'!O40="","",'Actividades'!O40)</x:f>
        <x:v>46335</x:v>
      </x:c>
      <x:c r="G58" s="24" t="n">
        <x:f>IF('Actividades'!P40="","",'Actividades'!P40)</x:f>
        <x:v>46340</x:v>
      </x:c>
      <x:c r="H58" s="2"/>
      <x:c r="I58" s="27" t="str">
        <x:f>IF(AND(ISNUMBER($F58),ISNUMBER($G58),$F58&lt;=I$9+6,$G58&gt;=I$9),IF('Actividades'!$M40&gt;0,"R","P"),IF(AND('Actividades'!$M40&gt;0,'Actividades'!$M40&lt;=I$9+6,'Actividades'!$N40&gt;=I$9),"H",""))</x:f>
      </x:c>
      <x:c r="J58" s="27" t="str">
        <x:f>IF(AND(ISNUMBER($F58),ISNUMBER($G58),$F58&lt;=J$9+6,$G58&gt;=J$9),IF('Actividades'!$M40&gt;0,"R","P"),IF(AND('Actividades'!$M40&gt;0,'Actividades'!$M40&lt;=J$9+6,'Actividades'!$N40&gt;=J$9),"H",""))</x:f>
      </x:c>
      <x:c r="K58" s="27" t="str">
        <x:f>IF(AND(ISNUMBER($F58),ISNUMBER($G58),$F58&lt;=K$9+6,$G58&gt;=K$9),IF('Actividades'!$M40&gt;0,"R","P"),IF(AND('Actividades'!$M40&gt;0,'Actividades'!$M40&lt;=K$9+6,'Actividades'!$N40&gt;=K$9),"H",""))</x:f>
      </x:c>
      <x:c r="L58" s="27" t="str">
        <x:f>IF(AND(ISNUMBER($F58),ISNUMBER($G58),$F58&lt;=L$9+6,$G58&gt;=L$9),IF('Actividades'!$M40&gt;0,"R","P"),IF(AND('Actividades'!$M40&gt;0,'Actividades'!$M40&lt;=L$9+6,'Actividades'!$N40&gt;=L$9),"H",""))</x:f>
      </x:c>
      <x:c r="M58" s="27" t="str">
        <x:f>IF(AND(ISNUMBER($F58),ISNUMBER($G58),$F58&lt;=M$9+6,$G58&gt;=M$9),IF('Actividades'!$M40&gt;0,"R","P"),IF(AND('Actividades'!$M40&gt;0,'Actividades'!$M40&lt;=M$9+6,'Actividades'!$N40&gt;=M$9),"H",""))</x:f>
      </x:c>
      <x:c r="N58" s="27" t="str">
        <x:f>IF(AND(ISNUMBER($F58),ISNUMBER($G58),$F58&lt;=N$9+6,$G58&gt;=N$9),IF('Actividades'!$M40&gt;0,"R","P"),IF(AND('Actividades'!$M40&gt;0,'Actividades'!$M40&lt;=N$9+6,'Actividades'!$N40&gt;=N$9),"H",""))</x:f>
      </x:c>
      <x:c r="O58" s="27" t="str">
        <x:f>IF(AND(ISNUMBER($F58),ISNUMBER($G58),$F58&lt;=O$9+6,$G58&gt;=O$9),IF('Actividades'!$M40&gt;0,"R","P"),IF(AND('Actividades'!$M40&gt;0,'Actividades'!$M40&lt;=O$9+6,'Actividades'!$N40&gt;=O$9),"H",""))</x:f>
      </x:c>
      <x:c r="P58" s="27" t="str">
        <x:f>IF(AND(ISNUMBER($F58),ISNUMBER($G58),$F58&lt;=P$9+6,$G58&gt;=P$9),IF('Actividades'!$M40&gt;0,"R","P"),IF(AND('Actividades'!$M40&gt;0,'Actividades'!$M40&lt;=P$9+6,'Actividades'!$N40&gt;=P$9),"H",""))</x:f>
      </x:c>
      <x:c r="Q58" s="27" t="str">
        <x:f>IF(AND(ISNUMBER($F58),ISNUMBER($G58),$F58&lt;=Q$9+6,$G58&gt;=Q$9),IF('Actividades'!$M40&gt;0,"R","P"),IF(AND('Actividades'!$M40&gt;0,'Actividades'!$M40&lt;=Q$9+6,'Actividades'!$N40&gt;=Q$9),"H",""))</x:f>
      </x:c>
      <x:c r="R58" s="27" t="str">
        <x:f>IF(AND(ISNUMBER($F58),ISNUMBER($G58),$F58&lt;=R$9+6,$G58&gt;=R$9),IF('Actividades'!$M40&gt;0,"R","P"),IF(AND('Actividades'!$M40&gt;0,'Actividades'!$M40&lt;=R$9+6,'Actividades'!$N40&gt;=R$9),"H",""))</x:f>
      </x:c>
      <x:c r="S58" s="27" t="str">
        <x:f>IF(AND(ISNUMBER($F58),ISNUMBER($G58),$F58&lt;=S$9+6,$G58&gt;=S$9),IF('Actividades'!$M40&gt;0,"R","P"),IF(AND('Actividades'!$M40&gt;0,'Actividades'!$M40&lt;=S$9+6,'Actividades'!$N40&gt;=S$9),"H",""))</x:f>
      </x:c>
      <x:c r="T58" s="27" t="str">
        <x:f>IF(AND(ISNUMBER($F58),ISNUMBER($G58),$F58&lt;=T$9+6,$G58&gt;=T$9),IF('Actividades'!$M40&gt;0,"R","P"),IF(AND('Actividades'!$M40&gt;0,'Actividades'!$M40&lt;=T$9+6,'Actividades'!$N40&gt;=T$9),"H",""))</x:f>
      </x:c>
      <x:c r="U58" s="27" t="str">
        <x:f>IF(AND(ISNUMBER($F58),ISNUMBER($G58),$F58&lt;=U$9+6,$G58&gt;=U$9),IF('Actividades'!$M40&gt;0,"R","P"),IF(AND('Actividades'!$M40&gt;0,'Actividades'!$M40&lt;=U$9+6,'Actividades'!$N40&gt;=U$9),"H",""))</x:f>
      </x:c>
      <x:c r="V58" s="27" t="str">
        <x:f>IF(AND(ISNUMBER($F58),ISNUMBER($G58),$F58&lt;=V$9+6,$G58&gt;=V$9),IF('Actividades'!$M40&gt;0,"R","P"),IF(AND('Actividades'!$M40&gt;0,'Actividades'!$M40&lt;=V$9+6,'Actividades'!$N40&gt;=V$9),"H",""))</x:f>
        <x:v>P</x:v>
      </x:c>
      <x:c r="W58" s="27" t="str">
        <x:f>IF(AND(ISNUMBER($F58),ISNUMBER($G58),$F58&lt;=W$9+6,$G58&gt;=W$9),IF('Actividades'!$M40&gt;0,"R","P"),IF(AND('Actividades'!$M40&gt;0,'Actividades'!$M40&lt;=W$9+6,'Actividades'!$N40&gt;=W$9),"H",""))</x:f>
      </x:c>
      <x:c r="X58" s="27" t="str">
        <x:f>IF(AND(ISNUMBER($F58),ISNUMBER($G58),$F58&lt;=X$9+6,$G58&gt;=X$9),IF('Actividades'!$M40&gt;0,"R","P"),IF(AND('Actividades'!$M40&gt;0,'Actividades'!$M40&lt;=X$9+6,'Actividades'!$N40&gt;=X$9),"H",""))</x:f>
      </x:c>
      <x:c r="Y58" s="27" t="str">
        <x:f>IF(AND(ISNUMBER($F58),ISNUMBER($G58),$F58&lt;=Y$9+6,$G58&gt;=Y$9),IF('Actividades'!$M40&gt;0,"R","P"),IF(AND('Actividades'!$M40&gt;0,'Actividades'!$M40&lt;=Y$9+6,'Actividades'!$N40&gt;=Y$9),"H",""))</x:f>
      </x:c>
      <x:c r="Z58" s="27" t="str">
        <x:f>IF(AND(ISNUMBER($F58),ISNUMBER($G58),$F58&lt;=Z$9+6,$G58&gt;=Z$9),IF('Actividades'!$M40&gt;0,"R","P"),IF(AND('Actividades'!$M40&gt;0,'Actividades'!$M40&lt;=Z$9+6,'Actividades'!$N40&gt;=Z$9),"H",""))</x:f>
      </x:c>
    </x:row>
    <x:row r="59" ht="42" customHeight="1">
      <x:c r="A59" s="10" t="str">
        <x:f>IF('Actividades'!B41="",'Actividades'!A41,'Actividades'!B41)</x:f>
        <x:v>SCRUM-38</x:v>
      </x:c>
      <x:c r="B59" s="10" t="str">
        <x:f>'Actividades'!C41</x:f>
        <x:v>Indicadores agregados</x:v>
      </x:c>
      <x:c r="C59" s="10" t="str">
        <x:f>IF('Actividades'!E41="No aplica","Propuesta",'Actividades'!E41)</x:f>
        <x:v>Pendiente</x:v>
      </x:c>
      <x:c r="D59" s="10" t="str">
        <x:f>'Actividades'!H41</x:f>
        <x:v>Pendiente</x:v>
      </x:c>
      <x:c r="E59" s="10" t="n">
        <x:f>IF('Actividades'!F41="","",'Actividades'!F41)</x:f>
        <x:v>8</x:v>
      </x:c>
      <x:c r="F59" s="23" t="n">
        <x:f>IF('Actividades'!O41="","",'Actividades'!O41)</x:f>
        <x:v>46328</x:v>
      </x:c>
      <x:c r="G59" s="23" t="n">
        <x:f>IF('Actividades'!P41="","",'Actividades'!P41)</x:f>
        <x:v>46333</x:v>
      </x:c>
      <x:c r="H59" s="2"/>
      <x:c r="I59" s="27" t="str">
        <x:f>IF(AND(ISNUMBER($F59),ISNUMBER($G59),$F59&lt;=I$9+6,$G59&gt;=I$9),IF('Actividades'!$M41&gt;0,"R","P"),IF(AND('Actividades'!$M41&gt;0,'Actividades'!$M41&lt;=I$9+6,'Actividades'!$N41&gt;=I$9),"H",""))</x:f>
      </x:c>
      <x:c r="J59" s="27" t="str">
        <x:f>IF(AND(ISNUMBER($F59),ISNUMBER($G59),$F59&lt;=J$9+6,$G59&gt;=J$9),IF('Actividades'!$M41&gt;0,"R","P"),IF(AND('Actividades'!$M41&gt;0,'Actividades'!$M41&lt;=J$9+6,'Actividades'!$N41&gt;=J$9),"H",""))</x:f>
      </x:c>
      <x:c r="K59" s="27" t="str">
        <x:f>IF(AND(ISNUMBER($F59),ISNUMBER($G59),$F59&lt;=K$9+6,$G59&gt;=K$9),IF('Actividades'!$M41&gt;0,"R","P"),IF(AND('Actividades'!$M41&gt;0,'Actividades'!$M41&lt;=K$9+6,'Actividades'!$N41&gt;=K$9),"H",""))</x:f>
      </x:c>
      <x:c r="L59" s="27" t="str">
        <x:f>IF(AND(ISNUMBER($F59),ISNUMBER($G59),$F59&lt;=L$9+6,$G59&gt;=L$9),IF('Actividades'!$M41&gt;0,"R","P"),IF(AND('Actividades'!$M41&gt;0,'Actividades'!$M41&lt;=L$9+6,'Actividades'!$N41&gt;=L$9),"H",""))</x:f>
      </x:c>
      <x:c r="M59" s="27" t="str">
        <x:f>IF(AND(ISNUMBER($F59),ISNUMBER($G59),$F59&lt;=M$9+6,$G59&gt;=M$9),IF('Actividades'!$M41&gt;0,"R","P"),IF(AND('Actividades'!$M41&gt;0,'Actividades'!$M41&lt;=M$9+6,'Actividades'!$N41&gt;=M$9),"H",""))</x:f>
      </x:c>
      <x:c r="N59" s="27" t="str">
        <x:f>IF(AND(ISNUMBER($F59),ISNUMBER($G59),$F59&lt;=N$9+6,$G59&gt;=N$9),IF('Actividades'!$M41&gt;0,"R","P"),IF(AND('Actividades'!$M41&gt;0,'Actividades'!$M41&lt;=N$9+6,'Actividades'!$N41&gt;=N$9),"H",""))</x:f>
      </x:c>
      <x:c r="O59" s="27" t="str">
        <x:f>IF(AND(ISNUMBER($F59),ISNUMBER($G59),$F59&lt;=O$9+6,$G59&gt;=O$9),IF('Actividades'!$M41&gt;0,"R","P"),IF(AND('Actividades'!$M41&gt;0,'Actividades'!$M41&lt;=O$9+6,'Actividades'!$N41&gt;=O$9),"H",""))</x:f>
      </x:c>
      <x:c r="P59" s="27" t="str">
        <x:f>IF(AND(ISNUMBER($F59),ISNUMBER($G59),$F59&lt;=P$9+6,$G59&gt;=P$9),IF('Actividades'!$M41&gt;0,"R","P"),IF(AND('Actividades'!$M41&gt;0,'Actividades'!$M41&lt;=P$9+6,'Actividades'!$N41&gt;=P$9),"H",""))</x:f>
      </x:c>
      <x:c r="Q59" s="27" t="str">
        <x:f>IF(AND(ISNUMBER($F59),ISNUMBER($G59),$F59&lt;=Q$9+6,$G59&gt;=Q$9),IF('Actividades'!$M41&gt;0,"R","P"),IF(AND('Actividades'!$M41&gt;0,'Actividades'!$M41&lt;=Q$9+6,'Actividades'!$N41&gt;=Q$9),"H",""))</x:f>
      </x:c>
      <x:c r="R59" s="27" t="str">
        <x:f>IF(AND(ISNUMBER($F59),ISNUMBER($G59),$F59&lt;=R$9+6,$G59&gt;=R$9),IF('Actividades'!$M41&gt;0,"R","P"),IF(AND('Actividades'!$M41&gt;0,'Actividades'!$M41&lt;=R$9+6,'Actividades'!$N41&gt;=R$9),"H",""))</x:f>
      </x:c>
      <x:c r="S59" s="27" t="str">
        <x:f>IF(AND(ISNUMBER($F59),ISNUMBER($G59),$F59&lt;=S$9+6,$G59&gt;=S$9),IF('Actividades'!$M41&gt;0,"R","P"),IF(AND('Actividades'!$M41&gt;0,'Actividades'!$M41&lt;=S$9+6,'Actividades'!$N41&gt;=S$9),"H",""))</x:f>
      </x:c>
      <x:c r="T59" s="27" t="str">
        <x:f>IF(AND(ISNUMBER($F59),ISNUMBER($G59),$F59&lt;=T$9+6,$G59&gt;=T$9),IF('Actividades'!$M41&gt;0,"R","P"),IF(AND('Actividades'!$M41&gt;0,'Actividades'!$M41&lt;=T$9+6,'Actividades'!$N41&gt;=T$9),"H",""))</x:f>
      </x:c>
      <x:c r="U59" s="27" t="str">
        <x:f>IF(AND(ISNUMBER($F59),ISNUMBER($G59),$F59&lt;=U$9+6,$G59&gt;=U$9),IF('Actividades'!$M41&gt;0,"R","P"),IF(AND('Actividades'!$M41&gt;0,'Actividades'!$M41&lt;=U$9+6,'Actividades'!$N41&gt;=U$9),"H",""))</x:f>
        <x:v>P</x:v>
      </x:c>
      <x:c r="V59" s="27" t="str">
        <x:f>IF(AND(ISNUMBER($F59),ISNUMBER($G59),$F59&lt;=V$9+6,$G59&gt;=V$9),IF('Actividades'!$M41&gt;0,"R","P"),IF(AND('Actividades'!$M41&gt;0,'Actividades'!$M41&lt;=V$9+6,'Actividades'!$N41&gt;=V$9),"H",""))</x:f>
      </x:c>
      <x:c r="W59" s="27" t="str">
        <x:f>IF(AND(ISNUMBER($F59),ISNUMBER($G59),$F59&lt;=W$9+6,$G59&gt;=W$9),IF('Actividades'!$M41&gt;0,"R","P"),IF(AND('Actividades'!$M41&gt;0,'Actividades'!$M41&lt;=W$9+6,'Actividades'!$N41&gt;=W$9),"H",""))</x:f>
      </x:c>
      <x:c r="X59" s="27" t="str">
        <x:f>IF(AND(ISNUMBER($F59),ISNUMBER($G59),$F59&lt;=X$9+6,$G59&gt;=X$9),IF('Actividades'!$M41&gt;0,"R","P"),IF(AND('Actividades'!$M41&gt;0,'Actividades'!$M41&lt;=X$9+6,'Actividades'!$N41&gt;=X$9),"H",""))</x:f>
      </x:c>
      <x:c r="Y59" s="27" t="str">
        <x:f>IF(AND(ISNUMBER($F59),ISNUMBER($G59),$F59&lt;=Y$9+6,$G59&gt;=Y$9),IF('Actividades'!$M41&gt;0,"R","P"),IF(AND('Actividades'!$M41&gt;0,'Actividades'!$M41&lt;=Y$9+6,'Actividades'!$N41&gt;=Y$9),"H",""))</x:f>
      </x:c>
      <x:c r="Z59" s="27" t="str">
        <x:f>IF(AND(ISNUMBER($F59),ISNUMBER($G59),$F59&lt;=Z$9+6,$G59&gt;=Z$9),IF('Actividades'!$M41&gt;0,"R","P"),IF(AND('Actividades'!$M41&gt;0,'Actividades'!$M41&lt;=Z$9+6,'Actividades'!$N41&gt;=Z$9),"H",""))</x:f>
      </x:c>
    </x:row>
    <x:row r="60" ht="42" customHeight="1">
      <x:c r="A60" s="21" t="str">
        <x:f>IF('Actividades'!B42="",'Actividades'!A42,'Actividades'!B42)</x:f>
        <x:v>SCRUM-40</x:v>
      </x:c>
      <x:c r="B60" s="21" t="str">
        <x:f>'Actividades'!C42</x:f>
        <x:v>Auditoría de cambios sensibles</x:v>
      </x:c>
      <x:c r="C60" s="21" t="str">
        <x:f>IF('Actividades'!E42="No aplica","Propuesta",'Actividades'!E42)</x:f>
        <x:v>Pendiente</x:v>
      </x:c>
      <x:c r="D60" s="21" t="str">
        <x:f>'Actividades'!H42</x:f>
        <x:v>Parcial</x:v>
      </x:c>
      <x:c r="E60" s="21" t="n">
        <x:f>IF('Actividades'!F42="","",'Actividades'!F42)</x:f>
        <x:v>8</x:v>
      </x:c>
      <x:c r="F60" s="24" t="n">
        <x:f>IF('Actividades'!O42="","",'Actividades'!O42)</x:f>
        <x:v>46328</x:v>
      </x:c>
      <x:c r="G60" s="24" t="n">
        <x:f>IF('Actividades'!P42="","",'Actividades'!P42)</x:f>
        <x:v>46333</x:v>
      </x:c>
      <x:c r="H60" s="2"/>
      <x:c r="I60" s="27" t="str">
        <x:f>IF(AND(ISNUMBER($F60),ISNUMBER($G60),$F60&lt;=I$9+6,$G60&gt;=I$9),IF('Actividades'!$M42&gt;0,"R","P"),IF(AND('Actividades'!$M42&gt;0,'Actividades'!$M42&lt;=I$9+6,'Actividades'!$N42&gt;=I$9),"H",""))</x:f>
      </x:c>
      <x:c r="J60" s="27" t="str">
        <x:f>IF(AND(ISNUMBER($F60),ISNUMBER($G60),$F60&lt;=J$9+6,$G60&gt;=J$9),IF('Actividades'!$M42&gt;0,"R","P"),IF(AND('Actividades'!$M42&gt;0,'Actividades'!$M42&lt;=J$9+6,'Actividades'!$N42&gt;=J$9),"H",""))</x:f>
      </x:c>
      <x:c r="K60" s="27" t="str">
        <x:f>IF(AND(ISNUMBER($F60),ISNUMBER($G60),$F60&lt;=K$9+6,$G60&gt;=K$9),IF('Actividades'!$M42&gt;0,"R","P"),IF(AND('Actividades'!$M42&gt;0,'Actividades'!$M42&lt;=K$9+6,'Actividades'!$N42&gt;=K$9),"H",""))</x:f>
      </x:c>
      <x:c r="L60" s="27" t="str">
        <x:f>IF(AND(ISNUMBER($F60),ISNUMBER($G60),$F60&lt;=L$9+6,$G60&gt;=L$9),IF('Actividades'!$M42&gt;0,"R","P"),IF(AND('Actividades'!$M42&gt;0,'Actividades'!$M42&lt;=L$9+6,'Actividades'!$N42&gt;=L$9),"H",""))</x:f>
      </x:c>
      <x:c r="M60" s="27" t="str">
        <x:f>IF(AND(ISNUMBER($F60),ISNUMBER($G60),$F60&lt;=M$9+6,$G60&gt;=M$9),IF('Actividades'!$M42&gt;0,"R","P"),IF(AND('Actividades'!$M42&gt;0,'Actividades'!$M42&lt;=M$9+6,'Actividades'!$N42&gt;=M$9),"H",""))</x:f>
      </x:c>
      <x:c r="N60" s="27" t="str">
        <x:f>IF(AND(ISNUMBER($F60),ISNUMBER($G60),$F60&lt;=N$9+6,$G60&gt;=N$9),IF('Actividades'!$M42&gt;0,"R","P"),IF(AND('Actividades'!$M42&gt;0,'Actividades'!$M42&lt;=N$9+6,'Actividades'!$N42&gt;=N$9),"H",""))</x:f>
      </x:c>
      <x:c r="O60" s="27" t="str">
        <x:f>IF(AND(ISNUMBER($F60),ISNUMBER($G60),$F60&lt;=O$9+6,$G60&gt;=O$9),IF('Actividades'!$M42&gt;0,"R","P"),IF(AND('Actividades'!$M42&gt;0,'Actividades'!$M42&lt;=O$9+6,'Actividades'!$N42&gt;=O$9),"H",""))</x:f>
      </x:c>
      <x:c r="P60" s="27" t="str">
        <x:f>IF(AND(ISNUMBER($F60),ISNUMBER($G60),$F60&lt;=P$9+6,$G60&gt;=P$9),IF('Actividades'!$M42&gt;0,"R","P"),IF(AND('Actividades'!$M42&gt;0,'Actividades'!$M42&lt;=P$9+6,'Actividades'!$N42&gt;=P$9),"H",""))</x:f>
      </x:c>
      <x:c r="Q60" s="27" t="str">
        <x:f>IF(AND(ISNUMBER($F60),ISNUMBER($G60),$F60&lt;=Q$9+6,$G60&gt;=Q$9),IF('Actividades'!$M42&gt;0,"R","P"),IF(AND('Actividades'!$M42&gt;0,'Actividades'!$M42&lt;=Q$9+6,'Actividades'!$N42&gt;=Q$9),"H",""))</x:f>
      </x:c>
      <x:c r="R60" s="27" t="str">
        <x:f>IF(AND(ISNUMBER($F60),ISNUMBER($G60),$F60&lt;=R$9+6,$G60&gt;=R$9),IF('Actividades'!$M42&gt;0,"R","P"),IF(AND('Actividades'!$M42&gt;0,'Actividades'!$M42&lt;=R$9+6,'Actividades'!$N42&gt;=R$9),"H",""))</x:f>
      </x:c>
      <x:c r="S60" s="27" t="str">
        <x:f>IF(AND(ISNUMBER($F60),ISNUMBER($G60),$F60&lt;=S$9+6,$G60&gt;=S$9),IF('Actividades'!$M42&gt;0,"R","P"),IF(AND('Actividades'!$M42&gt;0,'Actividades'!$M42&lt;=S$9+6,'Actividades'!$N42&gt;=S$9),"H",""))</x:f>
      </x:c>
      <x:c r="T60" s="27" t="str">
        <x:f>IF(AND(ISNUMBER($F60),ISNUMBER($G60),$F60&lt;=T$9+6,$G60&gt;=T$9),IF('Actividades'!$M42&gt;0,"R","P"),IF(AND('Actividades'!$M42&gt;0,'Actividades'!$M42&lt;=T$9+6,'Actividades'!$N42&gt;=T$9),"H",""))</x:f>
      </x:c>
      <x:c r="U60" s="27" t="str">
        <x:f>IF(AND(ISNUMBER($F60),ISNUMBER($G60),$F60&lt;=U$9+6,$G60&gt;=U$9),IF('Actividades'!$M42&gt;0,"R","P"),IF(AND('Actividades'!$M42&gt;0,'Actividades'!$M42&lt;=U$9+6,'Actividades'!$N42&gt;=U$9),"H",""))</x:f>
        <x:v>P</x:v>
      </x:c>
      <x:c r="V60" s="27" t="str">
        <x:f>IF(AND(ISNUMBER($F60),ISNUMBER($G60),$F60&lt;=V$9+6,$G60&gt;=V$9),IF('Actividades'!$M42&gt;0,"R","P"),IF(AND('Actividades'!$M42&gt;0,'Actividades'!$M42&lt;=V$9+6,'Actividades'!$N42&gt;=V$9),"H",""))</x:f>
      </x:c>
      <x:c r="W60" s="27" t="str">
        <x:f>IF(AND(ISNUMBER($F60),ISNUMBER($G60),$F60&lt;=W$9+6,$G60&gt;=W$9),IF('Actividades'!$M42&gt;0,"R","P"),IF(AND('Actividades'!$M42&gt;0,'Actividades'!$M42&lt;=W$9+6,'Actividades'!$N42&gt;=W$9),"H",""))</x:f>
      </x:c>
      <x:c r="X60" s="27" t="str">
        <x:f>IF(AND(ISNUMBER($F60),ISNUMBER($G60),$F60&lt;=X$9+6,$G60&gt;=X$9),IF('Actividades'!$M42&gt;0,"R","P"),IF(AND('Actividades'!$M42&gt;0,'Actividades'!$M42&lt;=X$9+6,'Actividades'!$N42&gt;=X$9),"H",""))</x:f>
      </x:c>
      <x:c r="Y60" s="27" t="str">
        <x:f>IF(AND(ISNUMBER($F60),ISNUMBER($G60),$F60&lt;=Y$9+6,$G60&gt;=Y$9),IF('Actividades'!$M42&gt;0,"R","P"),IF(AND('Actividades'!$M42&gt;0,'Actividades'!$M42&lt;=Y$9+6,'Actividades'!$N42&gt;=Y$9),"H",""))</x:f>
      </x:c>
      <x:c r="Z60" s="27" t="str">
        <x:f>IF(AND(ISNUMBER($F60),ISNUMBER($G60),$F60&lt;=Z$9+6,$G60&gt;=Z$9),IF('Actividades'!$M42&gt;0,"R","P"),IF(AND('Actividades'!$M42&gt;0,'Actividades'!$M42&lt;=Z$9+6,'Actividades'!$N42&gt;=Z$9),"H",""))</x:f>
      </x:c>
    </x:row>
    <x:row r="61" ht="42" customHeight="1">
      <x:c r="A61" s="10" t="str">
        <x:f>IF('Actividades'!B43="",'Actividades'!A43,'Actividades'!B43)</x:f>
        <x:v>SCRUM-41</x:v>
      </x:c>
      <x:c r="B61" s="10" t="str">
        <x:f>'Actividades'!C43</x:f>
        <x:v>Pruebas integrales seguridad y rendimiento</x:v>
      </x:c>
      <x:c r="C61" s="10" t="str">
        <x:f>IF('Actividades'!E43="No aplica","Propuesta",'Actividades'!E43)</x:f>
        <x:v>En curso</x:v>
      </x:c>
      <x:c r="D61" s="10" t="str">
        <x:f>'Actividades'!H43</x:f>
        <x:v>Parcial</x:v>
      </x:c>
      <x:c r="E61" s="10" t="n">
        <x:f>IF('Actividades'!F43="","",'Actividades'!F43)</x:f>
        <x:v>8</x:v>
      </x:c>
      <x:c r="F61" s="23" t="n">
        <x:f>IF('Actividades'!O43="","",'Actividades'!O43)</x:f>
        <x:v>46328</x:v>
      </x:c>
      <x:c r="G61" s="23" t="n">
        <x:f>IF('Actividades'!P43="","",'Actividades'!P43)</x:f>
        <x:v>46340</x:v>
      </x:c>
      <x:c r="H61" s="2"/>
      <x:c r="I61" s="27" t="str">
        <x:f>IF(AND(ISNUMBER($F61),ISNUMBER($G61),$F61&lt;=I$9+6,$G61&gt;=I$9),IF('Actividades'!$M43&gt;0,"R","P"),IF(AND('Actividades'!$M43&gt;0,'Actividades'!$M43&lt;=I$9+6,'Actividades'!$N43&gt;=I$9),"H",""))</x:f>
      </x:c>
      <x:c r="J61" s="27" t="str">
        <x:f>IF(AND(ISNUMBER($F61),ISNUMBER($G61),$F61&lt;=J$9+6,$G61&gt;=J$9),IF('Actividades'!$M43&gt;0,"R","P"),IF(AND('Actividades'!$M43&gt;0,'Actividades'!$M43&lt;=J$9+6,'Actividades'!$N43&gt;=J$9),"H",""))</x:f>
      </x:c>
      <x:c r="K61" s="27" t="str">
        <x:f>IF(AND(ISNUMBER($F61),ISNUMBER($G61),$F61&lt;=K$9+6,$G61&gt;=K$9),IF('Actividades'!$M43&gt;0,"R","P"),IF(AND('Actividades'!$M43&gt;0,'Actividades'!$M43&lt;=K$9+6,'Actividades'!$N43&gt;=K$9),"H",""))</x:f>
      </x:c>
      <x:c r="L61" s="27" t="str">
        <x:f>IF(AND(ISNUMBER($F61),ISNUMBER($G61),$F61&lt;=L$9+6,$G61&gt;=L$9),IF('Actividades'!$M43&gt;0,"R","P"),IF(AND('Actividades'!$M43&gt;0,'Actividades'!$M43&lt;=L$9+6,'Actividades'!$N43&gt;=L$9),"H",""))</x:f>
      </x:c>
      <x:c r="M61" s="27" t="str">
        <x:f>IF(AND(ISNUMBER($F61),ISNUMBER($G61),$F61&lt;=M$9+6,$G61&gt;=M$9),IF('Actividades'!$M43&gt;0,"R","P"),IF(AND('Actividades'!$M43&gt;0,'Actividades'!$M43&lt;=M$9+6,'Actividades'!$N43&gt;=M$9),"H",""))</x:f>
      </x:c>
      <x:c r="N61" s="27" t="str">
        <x:f>IF(AND(ISNUMBER($F61),ISNUMBER($G61),$F61&lt;=N$9+6,$G61&gt;=N$9),IF('Actividades'!$M43&gt;0,"R","P"),IF(AND('Actividades'!$M43&gt;0,'Actividades'!$M43&lt;=N$9+6,'Actividades'!$N43&gt;=N$9),"H",""))</x:f>
      </x:c>
      <x:c r="O61" s="27" t="str">
        <x:f>IF(AND(ISNUMBER($F61),ISNUMBER($G61),$F61&lt;=O$9+6,$G61&gt;=O$9),IF('Actividades'!$M43&gt;0,"R","P"),IF(AND('Actividades'!$M43&gt;0,'Actividades'!$M43&lt;=O$9+6,'Actividades'!$N43&gt;=O$9),"H",""))</x:f>
      </x:c>
      <x:c r="P61" s="27" t="str">
        <x:f>IF(AND(ISNUMBER($F61),ISNUMBER($G61),$F61&lt;=P$9+6,$G61&gt;=P$9),IF('Actividades'!$M43&gt;0,"R","P"),IF(AND('Actividades'!$M43&gt;0,'Actividades'!$M43&lt;=P$9+6,'Actividades'!$N43&gt;=P$9),"H",""))</x:f>
      </x:c>
      <x:c r="Q61" s="27" t="str">
        <x:f>IF(AND(ISNUMBER($F61),ISNUMBER($G61),$F61&lt;=Q$9+6,$G61&gt;=Q$9),IF('Actividades'!$M43&gt;0,"R","P"),IF(AND('Actividades'!$M43&gt;0,'Actividades'!$M43&lt;=Q$9+6,'Actividades'!$N43&gt;=Q$9),"H",""))</x:f>
      </x:c>
      <x:c r="R61" s="27" t="str">
        <x:f>IF(AND(ISNUMBER($F61),ISNUMBER($G61),$F61&lt;=R$9+6,$G61&gt;=R$9),IF('Actividades'!$M43&gt;0,"R","P"),IF(AND('Actividades'!$M43&gt;0,'Actividades'!$M43&lt;=R$9+6,'Actividades'!$N43&gt;=R$9),"H",""))</x:f>
      </x:c>
      <x:c r="S61" s="27" t="str">
        <x:f>IF(AND(ISNUMBER($F61),ISNUMBER($G61),$F61&lt;=S$9+6,$G61&gt;=S$9),IF('Actividades'!$M43&gt;0,"R","P"),IF(AND('Actividades'!$M43&gt;0,'Actividades'!$M43&lt;=S$9+6,'Actividades'!$N43&gt;=S$9),"H",""))</x:f>
      </x:c>
      <x:c r="T61" s="27" t="str">
        <x:f>IF(AND(ISNUMBER($F61),ISNUMBER($G61),$F61&lt;=T$9+6,$G61&gt;=T$9),IF('Actividades'!$M43&gt;0,"R","P"),IF(AND('Actividades'!$M43&gt;0,'Actividades'!$M43&lt;=T$9+6,'Actividades'!$N43&gt;=T$9),"H",""))</x:f>
      </x:c>
      <x:c r="U61" s="27" t="str">
        <x:f>IF(AND(ISNUMBER($F61),ISNUMBER($G61),$F61&lt;=U$9+6,$G61&gt;=U$9),IF('Actividades'!$M43&gt;0,"R","P"),IF(AND('Actividades'!$M43&gt;0,'Actividades'!$M43&lt;=U$9+6,'Actividades'!$N43&gt;=U$9),"H",""))</x:f>
        <x:v>P</x:v>
      </x:c>
      <x:c r="V61" s="27" t="str">
        <x:f>IF(AND(ISNUMBER($F61),ISNUMBER($G61),$F61&lt;=V$9+6,$G61&gt;=V$9),IF('Actividades'!$M43&gt;0,"R","P"),IF(AND('Actividades'!$M43&gt;0,'Actividades'!$M43&lt;=V$9+6,'Actividades'!$N43&gt;=V$9),"H",""))</x:f>
        <x:v>P</x:v>
      </x:c>
      <x:c r="W61" s="27" t="str">
        <x:f>IF(AND(ISNUMBER($F61),ISNUMBER($G61),$F61&lt;=W$9+6,$G61&gt;=W$9),IF('Actividades'!$M43&gt;0,"R","P"),IF(AND('Actividades'!$M43&gt;0,'Actividades'!$M43&lt;=W$9+6,'Actividades'!$N43&gt;=W$9),"H",""))</x:f>
      </x:c>
      <x:c r="X61" s="27" t="str">
        <x:f>IF(AND(ISNUMBER($F61),ISNUMBER($G61),$F61&lt;=X$9+6,$G61&gt;=X$9),IF('Actividades'!$M43&gt;0,"R","P"),IF(AND('Actividades'!$M43&gt;0,'Actividades'!$M43&lt;=X$9+6,'Actividades'!$N43&gt;=X$9),"H",""))</x:f>
      </x:c>
      <x:c r="Y61" s="27" t="str">
        <x:f>IF(AND(ISNUMBER($F61),ISNUMBER($G61),$F61&lt;=Y$9+6,$G61&gt;=Y$9),IF('Actividades'!$M43&gt;0,"R","P"),IF(AND('Actividades'!$M43&gt;0,'Actividades'!$M43&lt;=Y$9+6,'Actividades'!$N43&gt;=Y$9),"H",""))</x:f>
      </x:c>
      <x:c r="Z61" s="27" t="str">
        <x:f>IF(AND(ISNUMBER($F61),ISNUMBER($G61),$F61&lt;=Z$9+6,$G61&gt;=Z$9),IF('Actividades'!$M43&gt;0,"R","P"),IF(AND('Actividades'!$M43&gt;0,'Actividades'!$M43&lt;=Z$9+6,'Actividades'!$N43&gt;=Z$9),"H",""))</x:f>
      </x:c>
    </x:row>
    <x:row r="62" ht="42" customHeight="1">
      <x:c r="A62" s="21" t="str">
        <x:f>IF('Actividades'!B44="",'Actividades'!A44,'Actividades'!B44)</x:f>
        <x:v>SCRUM-42</x:v>
      </x:c>
      <x:c r="B62" s="21" t="str">
        <x:f>'Actividades'!C44</x:f>
        <x:v>Manual técnico y despliegue</x:v>
      </x:c>
      <x:c r="C62" s="21" t="str">
        <x:f>IF('Actividades'!E44="No aplica","Propuesta",'Actividades'!E44)</x:f>
        <x:v>En revisión</x:v>
      </x:c>
      <x:c r="D62" s="21" t="str">
        <x:f>'Actividades'!H44</x:f>
        <x:v>Documentado</x:v>
      </x:c>
      <x:c r="E62" s="21" t="n">
        <x:f>IF('Actividades'!F44="","",'Actividades'!F44)</x:f>
        <x:v>5</x:v>
      </x:c>
      <x:c r="F62" s="24" t="n">
        <x:f>IF('Actividades'!O44="","",'Actividades'!O44)</x:f>
        <x:v>46335</x:v>
      </x:c>
      <x:c r="G62" s="24" t="n">
        <x:f>IF('Actividades'!P44="","",'Actividades'!P44)</x:f>
        <x:v>46340</x:v>
      </x:c>
      <x:c r="H62" s="2"/>
      <x:c r="I62" s="27" t="str">
        <x:f>IF(AND(ISNUMBER($F62),ISNUMBER($G62),$F62&lt;=I$9+6,$G62&gt;=I$9),IF('Actividades'!$M44&gt;0,"R","P"),IF(AND('Actividades'!$M44&gt;0,'Actividades'!$M44&lt;=I$9+6,'Actividades'!$N44&gt;=I$9),"H",""))</x:f>
      </x:c>
      <x:c r="J62" s="27" t="str">
        <x:f>IF(AND(ISNUMBER($F62),ISNUMBER($G62),$F62&lt;=J$9+6,$G62&gt;=J$9),IF('Actividades'!$M44&gt;0,"R","P"),IF(AND('Actividades'!$M44&gt;0,'Actividades'!$M44&lt;=J$9+6,'Actividades'!$N44&gt;=J$9),"H",""))</x:f>
      </x:c>
      <x:c r="K62" s="27" t="str">
        <x:f>IF(AND(ISNUMBER($F62),ISNUMBER($G62),$F62&lt;=K$9+6,$G62&gt;=K$9),IF('Actividades'!$M44&gt;0,"R","P"),IF(AND('Actividades'!$M44&gt;0,'Actividades'!$M44&lt;=K$9+6,'Actividades'!$N44&gt;=K$9),"H",""))</x:f>
      </x:c>
      <x:c r="L62" s="27" t="str">
        <x:f>IF(AND(ISNUMBER($F62),ISNUMBER($G62),$F62&lt;=L$9+6,$G62&gt;=L$9),IF('Actividades'!$M44&gt;0,"R","P"),IF(AND('Actividades'!$M44&gt;0,'Actividades'!$M44&lt;=L$9+6,'Actividades'!$N44&gt;=L$9),"H",""))</x:f>
      </x:c>
      <x:c r="M62" s="27" t="str">
        <x:f>IF(AND(ISNUMBER($F62),ISNUMBER($G62),$F62&lt;=M$9+6,$G62&gt;=M$9),IF('Actividades'!$M44&gt;0,"R","P"),IF(AND('Actividades'!$M44&gt;0,'Actividades'!$M44&lt;=M$9+6,'Actividades'!$N44&gt;=M$9),"H",""))</x:f>
      </x:c>
      <x:c r="N62" s="27" t="str">
        <x:f>IF(AND(ISNUMBER($F62),ISNUMBER($G62),$F62&lt;=N$9+6,$G62&gt;=N$9),IF('Actividades'!$M44&gt;0,"R","P"),IF(AND('Actividades'!$M44&gt;0,'Actividades'!$M44&lt;=N$9+6,'Actividades'!$N44&gt;=N$9),"H",""))</x:f>
      </x:c>
      <x:c r="O62" s="27" t="str">
        <x:f>IF(AND(ISNUMBER($F62),ISNUMBER($G62),$F62&lt;=O$9+6,$G62&gt;=O$9),IF('Actividades'!$M44&gt;0,"R","P"),IF(AND('Actividades'!$M44&gt;0,'Actividades'!$M44&lt;=O$9+6,'Actividades'!$N44&gt;=O$9),"H",""))</x:f>
      </x:c>
      <x:c r="P62" s="27" t="str">
        <x:f>IF(AND(ISNUMBER($F62),ISNUMBER($G62),$F62&lt;=P$9+6,$G62&gt;=P$9),IF('Actividades'!$M44&gt;0,"R","P"),IF(AND('Actividades'!$M44&gt;0,'Actividades'!$M44&lt;=P$9+6,'Actividades'!$N44&gt;=P$9),"H",""))</x:f>
      </x:c>
      <x:c r="Q62" s="27" t="str">
        <x:f>IF(AND(ISNUMBER($F62),ISNUMBER($G62),$F62&lt;=Q$9+6,$G62&gt;=Q$9),IF('Actividades'!$M44&gt;0,"R","P"),IF(AND('Actividades'!$M44&gt;0,'Actividades'!$M44&lt;=Q$9+6,'Actividades'!$N44&gt;=Q$9),"H",""))</x:f>
      </x:c>
      <x:c r="R62" s="27" t="str">
        <x:f>IF(AND(ISNUMBER($F62),ISNUMBER($G62),$F62&lt;=R$9+6,$G62&gt;=R$9),IF('Actividades'!$M44&gt;0,"R","P"),IF(AND('Actividades'!$M44&gt;0,'Actividades'!$M44&lt;=R$9+6,'Actividades'!$N44&gt;=R$9),"H",""))</x:f>
      </x:c>
      <x:c r="S62" s="27" t="str">
        <x:f>IF(AND(ISNUMBER($F62),ISNUMBER($G62),$F62&lt;=S$9+6,$G62&gt;=S$9),IF('Actividades'!$M44&gt;0,"R","P"),IF(AND('Actividades'!$M44&gt;0,'Actividades'!$M44&lt;=S$9+6,'Actividades'!$N44&gt;=S$9),"H",""))</x:f>
      </x:c>
      <x:c r="T62" s="27" t="str">
        <x:f>IF(AND(ISNUMBER($F62),ISNUMBER($G62),$F62&lt;=T$9+6,$G62&gt;=T$9),IF('Actividades'!$M44&gt;0,"R","P"),IF(AND('Actividades'!$M44&gt;0,'Actividades'!$M44&lt;=T$9+6,'Actividades'!$N44&gt;=T$9),"H",""))</x:f>
      </x:c>
      <x:c r="U62" s="27" t="str">
        <x:f>IF(AND(ISNUMBER($F62),ISNUMBER($G62),$F62&lt;=U$9+6,$G62&gt;=U$9),IF('Actividades'!$M44&gt;0,"R","P"),IF(AND('Actividades'!$M44&gt;0,'Actividades'!$M44&lt;=U$9+6,'Actividades'!$N44&gt;=U$9),"H",""))</x:f>
      </x:c>
      <x:c r="V62" s="27" t="str">
        <x:f>IF(AND(ISNUMBER($F62),ISNUMBER($G62),$F62&lt;=V$9+6,$G62&gt;=V$9),IF('Actividades'!$M44&gt;0,"R","P"),IF(AND('Actividades'!$M44&gt;0,'Actividades'!$M44&lt;=V$9+6,'Actividades'!$N44&gt;=V$9),"H",""))</x:f>
        <x:v>P</x:v>
      </x:c>
      <x:c r="W62" s="27" t="str">
        <x:f>IF(AND(ISNUMBER($F62),ISNUMBER($G62),$F62&lt;=W$9+6,$G62&gt;=W$9),IF('Actividades'!$M44&gt;0,"R","P"),IF(AND('Actividades'!$M44&gt;0,'Actividades'!$M44&lt;=W$9+6,'Actividades'!$N44&gt;=W$9),"H",""))</x:f>
      </x:c>
      <x:c r="X62" s="27" t="str">
        <x:f>IF(AND(ISNUMBER($F62),ISNUMBER($G62),$F62&lt;=X$9+6,$G62&gt;=X$9),IF('Actividades'!$M44&gt;0,"R","P"),IF(AND('Actividades'!$M44&gt;0,'Actividades'!$M44&lt;=X$9+6,'Actividades'!$N44&gt;=X$9),"H",""))</x:f>
      </x:c>
      <x:c r="Y62" s="27" t="str">
        <x:f>IF(AND(ISNUMBER($F62),ISNUMBER($G62),$F62&lt;=Y$9+6,$G62&gt;=Y$9),IF('Actividades'!$M44&gt;0,"R","P"),IF(AND('Actividades'!$M44&gt;0,'Actividades'!$M44&lt;=Y$9+6,'Actividades'!$N44&gt;=Y$9),"H",""))</x:f>
      </x:c>
      <x:c r="Z62" s="27" t="str">
        <x:f>IF(AND(ISNUMBER($F62),ISNUMBER($G62),$F62&lt;=Z$9+6,$G62&gt;=Z$9),IF('Actividades'!$M44&gt;0,"R","P"),IF(AND('Actividades'!$M44&gt;0,'Actividades'!$M44&lt;=Z$9+6,'Actividades'!$N44&gt;=Z$9),"H",""))</x:f>
      </x:c>
    </x:row>
    <x:row r="63" ht="42" customHeight="1">
      <x:c r="A63" s="10" t="str">
        <x:f>IF('Actividades'!B45="",'Actividades'!A45,'Actividades'!B45)</x:f>
        <x:v>SCRUM-43</x:v>
      </x:c>
      <x:c r="B63" s="10" t="str">
        <x:f>'Actividades'!C45</x:f>
        <x:v>Manual de usuario</x:v>
      </x:c>
      <x:c r="C63" s="10" t="str">
        <x:f>IF('Actividades'!E45="No aplica","Propuesta",'Actividades'!E45)</x:f>
        <x:v>Pendiente</x:v>
      </x:c>
      <x:c r="D63" s="10" t="str">
        <x:f>'Actividades'!H45</x:f>
        <x:v>Parcial</x:v>
      </x:c>
      <x:c r="E63" s="10" t="n">
        <x:f>IF('Actividades'!F45="","",'Actividades'!F45)</x:f>
        <x:v>5</x:v>
      </x:c>
      <x:c r="F63" s="23" t="n">
        <x:f>IF('Actividades'!O45="","",'Actividades'!O45)</x:f>
        <x:v>46335</x:v>
      </x:c>
      <x:c r="G63" s="23" t="n">
        <x:f>IF('Actividades'!P45="","",'Actividades'!P45)</x:f>
        <x:v>46340</x:v>
      </x:c>
      <x:c r="H63" s="2"/>
      <x:c r="I63" s="27" t="str">
        <x:f>IF(AND(ISNUMBER($F63),ISNUMBER($G63),$F63&lt;=I$9+6,$G63&gt;=I$9),IF('Actividades'!$M45&gt;0,"R","P"),IF(AND('Actividades'!$M45&gt;0,'Actividades'!$M45&lt;=I$9+6,'Actividades'!$N45&gt;=I$9),"H",""))</x:f>
      </x:c>
      <x:c r="J63" s="27" t="str">
        <x:f>IF(AND(ISNUMBER($F63),ISNUMBER($G63),$F63&lt;=J$9+6,$G63&gt;=J$9),IF('Actividades'!$M45&gt;0,"R","P"),IF(AND('Actividades'!$M45&gt;0,'Actividades'!$M45&lt;=J$9+6,'Actividades'!$N45&gt;=J$9),"H",""))</x:f>
      </x:c>
      <x:c r="K63" s="27" t="str">
        <x:f>IF(AND(ISNUMBER($F63),ISNUMBER($G63),$F63&lt;=K$9+6,$G63&gt;=K$9),IF('Actividades'!$M45&gt;0,"R","P"),IF(AND('Actividades'!$M45&gt;0,'Actividades'!$M45&lt;=K$9+6,'Actividades'!$N45&gt;=K$9),"H",""))</x:f>
      </x:c>
      <x:c r="L63" s="27" t="str">
        <x:f>IF(AND(ISNUMBER($F63),ISNUMBER($G63),$F63&lt;=L$9+6,$G63&gt;=L$9),IF('Actividades'!$M45&gt;0,"R","P"),IF(AND('Actividades'!$M45&gt;0,'Actividades'!$M45&lt;=L$9+6,'Actividades'!$N45&gt;=L$9),"H",""))</x:f>
      </x:c>
      <x:c r="M63" s="27" t="str">
        <x:f>IF(AND(ISNUMBER($F63),ISNUMBER($G63),$F63&lt;=M$9+6,$G63&gt;=M$9),IF('Actividades'!$M45&gt;0,"R","P"),IF(AND('Actividades'!$M45&gt;0,'Actividades'!$M45&lt;=M$9+6,'Actividades'!$N45&gt;=M$9),"H",""))</x:f>
      </x:c>
      <x:c r="N63" s="27" t="str">
        <x:f>IF(AND(ISNUMBER($F63),ISNUMBER($G63),$F63&lt;=N$9+6,$G63&gt;=N$9),IF('Actividades'!$M45&gt;0,"R","P"),IF(AND('Actividades'!$M45&gt;0,'Actividades'!$M45&lt;=N$9+6,'Actividades'!$N45&gt;=N$9),"H",""))</x:f>
      </x:c>
      <x:c r="O63" s="27" t="str">
        <x:f>IF(AND(ISNUMBER($F63),ISNUMBER($G63),$F63&lt;=O$9+6,$G63&gt;=O$9),IF('Actividades'!$M45&gt;0,"R","P"),IF(AND('Actividades'!$M45&gt;0,'Actividades'!$M45&lt;=O$9+6,'Actividades'!$N45&gt;=O$9),"H",""))</x:f>
      </x:c>
      <x:c r="P63" s="27" t="str">
        <x:f>IF(AND(ISNUMBER($F63),ISNUMBER($G63),$F63&lt;=P$9+6,$G63&gt;=P$9),IF('Actividades'!$M45&gt;0,"R","P"),IF(AND('Actividades'!$M45&gt;0,'Actividades'!$M45&lt;=P$9+6,'Actividades'!$N45&gt;=P$9),"H",""))</x:f>
      </x:c>
      <x:c r="Q63" s="27" t="str">
        <x:f>IF(AND(ISNUMBER($F63),ISNUMBER($G63),$F63&lt;=Q$9+6,$G63&gt;=Q$9),IF('Actividades'!$M45&gt;0,"R","P"),IF(AND('Actividades'!$M45&gt;0,'Actividades'!$M45&lt;=Q$9+6,'Actividades'!$N45&gt;=Q$9),"H",""))</x:f>
      </x:c>
      <x:c r="R63" s="27" t="str">
        <x:f>IF(AND(ISNUMBER($F63),ISNUMBER($G63),$F63&lt;=R$9+6,$G63&gt;=R$9),IF('Actividades'!$M45&gt;0,"R","P"),IF(AND('Actividades'!$M45&gt;0,'Actividades'!$M45&lt;=R$9+6,'Actividades'!$N45&gt;=R$9),"H",""))</x:f>
      </x:c>
      <x:c r="S63" s="27" t="str">
        <x:f>IF(AND(ISNUMBER($F63),ISNUMBER($G63),$F63&lt;=S$9+6,$G63&gt;=S$9),IF('Actividades'!$M45&gt;0,"R","P"),IF(AND('Actividades'!$M45&gt;0,'Actividades'!$M45&lt;=S$9+6,'Actividades'!$N45&gt;=S$9),"H",""))</x:f>
      </x:c>
      <x:c r="T63" s="27" t="str">
        <x:f>IF(AND(ISNUMBER($F63),ISNUMBER($G63),$F63&lt;=T$9+6,$G63&gt;=T$9),IF('Actividades'!$M45&gt;0,"R","P"),IF(AND('Actividades'!$M45&gt;0,'Actividades'!$M45&lt;=T$9+6,'Actividades'!$N45&gt;=T$9),"H",""))</x:f>
      </x:c>
      <x:c r="U63" s="27" t="str">
        <x:f>IF(AND(ISNUMBER($F63),ISNUMBER($G63),$F63&lt;=U$9+6,$G63&gt;=U$9),IF('Actividades'!$M45&gt;0,"R","P"),IF(AND('Actividades'!$M45&gt;0,'Actividades'!$M45&lt;=U$9+6,'Actividades'!$N45&gt;=U$9),"H",""))</x:f>
      </x:c>
      <x:c r="V63" s="27" t="str">
        <x:f>IF(AND(ISNUMBER($F63),ISNUMBER($G63),$F63&lt;=V$9+6,$G63&gt;=V$9),IF('Actividades'!$M45&gt;0,"R","P"),IF(AND('Actividades'!$M45&gt;0,'Actividades'!$M45&lt;=V$9+6,'Actividades'!$N45&gt;=V$9),"H",""))</x:f>
        <x:v>P</x:v>
      </x:c>
      <x:c r="W63" s="27" t="str">
        <x:f>IF(AND(ISNUMBER($F63),ISNUMBER($G63),$F63&lt;=W$9+6,$G63&gt;=W$9),IF('Actividades'!$M45&gt;0,"R","P"),IF(AND('Actividades'!$M45&gt;0,'Actividades'!$M45&lt;=W$9+6,'Actividades'!$N45&gt;=W$9),"H",""))</x:f>
      </x:c>
      <x:c r="X63" s="27" t="str">
        <x:f>IF(AND(ISNUMBER($F63),ISNUMBER($G63),$F63&lt;=X$9+6,$G63&gt;=X$9),IF('Actividades'!$M45&gt;0,"R","P"),IF(AND('Actividades'!$M45&gt;0,'Actividades'!$M45&lt;=X$9+6,'Actividades'!$N45&gt;=X$9),"H",""))</x:f>
      </x:c>
      <x:c r="Y63" s="27" t="str">
        <x:f>IF(AND(ISNUMBER($F63),ISNUMBER($G63),$F63&lt;=Y$9+6,$G63&gt;=Y$9),IF('Actividades'!$M45&gt;0,"R","P"),IF(AND('Actividades'!$M45&gt;0,'Actividades'!$M45&lt;=Y$9+6,'Actividades'!$N45&gt;=Y$9),"H",""))</x:f>
      </x:c>
      <x:c r="Z63" s="27" t="str">
        <x:f>IF(AND(ISNUMBER($F63),ISNUMBER($G63),$F63&lt;=Z$9+6,$G63&gt;=Z$9),IF('Actividades'!$M45&gt;0,"R","P"),IF(AND('Actividades'!$M45&gt;0,'Actividades'!$M45&lt;=Z$9+6,'Actividades'!$N45&gt;=Z$9),"H",""))</x:f>
      </x:c>
    </x:row>
    <x:row r="64" ht="42" customHeight="1">
      <x:c r="A64" s="21" t="str">
        <x:f>IF('Actividades'!B46="",'Actividades'!A46,'Actividades'!B46)</x:f>
        <x:v>SCRUM-44</x:v>
      </x:c>
      <x:c r="B64" s="21" t="str">
        <x:f>'Actividades'!C46</x:f>
        <x:v>Innovación y propuesta de valor</x:v>
      </x:c>
      <x:c r="C64" s="21" t="str">
        <x:f>IF('Actividades'!E46="No aplica","Propuesta",'Actividades'!E46)</x:f>
        <x:v>Pendiente</x:v>
      </x:c>
      <x:c r="D64" s="21" t="str">
        <x:f>'Actividades'!H46</x:f>
        <x:v>Pendiente</x:v>
      </x:c>
      <x:c r="E64" s="21" t="n">
        <x:f>IF('Actividades'!F46="","",'Actividades'!F46)</x:f>
        <x:v>3</x:v>
      </x:c>
      <x:c r="F64" s="24" t="n">
        <x:f>IF('Actividades'!O46="","",'Actividades'!O46)</x:f>
        <x:v>46335</x:v>
      </x:c>
      <x:c r="G64" s="24" t="n">
        <x:f>IF('Actividades'!P46="","",'Actividades'!P46)</x:f>
        <x:v>46340</x:v>
      </x:c>
      <x:c r="H64" s="2"/>
      <x:c r="I64" s="27" t="str">
        <x:f>IF(AND(ISNUMBER($F64),ISNUMBER($G64),$F64&lt;=I$9+6,$G64&gt;=I$9),IF('Actividades'!$M46&gt;0,"R","P"),IF(AND('Actividades'!$M46&gt;0,'Actividades'!$M46&lt;=I$9+6,'Actividades'!$N46&gt;=I$9),"H",""))</x:f>
      </x:c>
      <x:c r="J64" s="27" t="str">
        <x:f>IF(AND(ISNUMBER($F64),ISNUMBER($G64),$F64&lt;=J$9+6,$G64&gt;=J$9),IF('Actividades'!$M46&gt;0,"R","P"),IF(AND('Actividades'!$M46&gt;0,'Actividades'!$M46&lt;=J$9+6,'Actividades'!$N46&gt;=J$9),"H",""))</x:f>
      </x:c>
      <x:c r="K64" s="27" t="str">
        <x:f>IF(AND(ISNUMBER($F64),ISNUMBER($G64),$F64&lt;=K$9+6,$G64&gt;=K$9),IF('Actividades'!$M46&gt;0,"R","P"),IF(AND('Actividades'!$M46&gt;0,'Actividades'!$M46&lt;=K$9+6,'Actividades'!$N46&gt;=K$9),"H",""))</x:f>
      </x:c>
      <x:c r="L64" s="27" t="str">
        <x:f>IF(AND(ISNUMBER($F64),ISNUMBER($G64),$F64&lt;=L$9+6,$G64&gt;=L$9),IF('Actividades'!$M46&gt;0,"R","P"),IF(AND('Actividades'!$M46&gt;0,'Actividades'!$M46&lt;=L$9+6,'Actividades'!$N46&gt;=L$9),"H",""))</x:f>
      </x:c>
      <x:c r="M64" s="27" t="str">
        <x:f>IF(AND(ISNUMBER($F64),ISNUMBER($G64),$F64&lt;=M$9+6,$G64&gt;=M$9),IF('Actividades'!$M46&gt;0,"R","P"),IF(AND('Actividades'!$M46&gt;0,'Actividades'!$M46&lt;=M$9+6,'Actividades'!$N46&gt;=M$9),"H",""))</x:f>
      </x:c>
      <x:c r="N64" s="27" t="str">
        <x:f>IF(AND(ISNUMBER($F64),ISNUMBER($G64),$F64&lt;=N$9+6,$G64&gt;=N$9),IF('Actividades'!$M46&gt;0,"R","P"),IF(AND('Actividades'!$M46&gt;0,'Actividades'!$M46&lt;=N$9+6,'Actividades'!$N46&gt;=N$9),"H",""))</x:f>
      </x:c>
      <x:c r="O64" s="27" t="str">
        <x:f>IF(AND(ISNUMBER($F64),ISNUMBER($G64),$F64&lt;=O$9+6,$G64&gt;=O$9),IF('Actividades'!$M46&gt;0,"R","P"),IF(AND('Actividades'!$M46&gt;0,'Actividades'!$M46&lt;=O$9+6,'Actividades'!$N46&gt;=O$9),"H",""))</x:f>
      </x:c>
      <x:c r="P64" s="27" t="str">
        <x:f>IF(AND(ISNUMBER($F64),ISNUMBER($G64),$F64&lt;=P$9+6,$G64&gt;=P$9),IF('Actividades'!$M46&gt;0,"R","P"),IF(AND('Actividades'!$M46&gt;0,'Actividades'!$M46&lt;=P$9+6,'Actividades'!$N46&gt;=P$9),"H",""))</x:f>
      </x:c>
      <x:c r="Q64" s="27" t="str">
        <x:f>IF(AND(ISNUMBER($F64),ISNUMBER($G64),$F64&lt;=Q$9+6,$G64&gt;=Q$9),IF('Actividades'!$M46&gt;0,"R","P"),IF(AND('Actividades'!$M46&gt;0,'Actividades'!$M46&lt;=Q$9+6,'Actividades'!$N46&gt;=Q$9),"H",""))</x:f>
      </x:c>
      <x:c r="R64" s="27" t="str">
        <x:f>IF(AND(ISNUMBER($F64),ISNUMBER($G64),$F64&lt;=R$9+6,$G64&gt;=R$9),IF('Actividades'!$M46&gt;0,"R","P"),IF(AND('Actividades'!$M46&gt;0,'Actividades'!$M46&lt;=R$9+6,'Actividades'!$N46&gt;=R$9),"H",""))</x:f>
      </x:c>
      <x:c r="S64" s="27" t="str">
        <x:f>IF(AND(ISNUMBER($F64),ISNUMBER($G64),$F64&lt;=S$9+6,$G64&gt;=S$9),IF('Actividades'!$M46&gt;0,"R","P"),IF(AND('Actividades'!$M46&gt;0,'Actividades'!$M46&lt;=S$9+6,'Actividades'!$N46&gt;=S$9),"H",""))</x:f>
      </x:c>
      <x:c r="T64" s="27" t="str">
        <x:f>IF(AND(ISNUMBER($F64),ISNUMBER($G64),$F64&lt;=T$9+6,$G64&gt;=T$9),IF('Actividades'!$M46&gt;0,"R","P"),IF(AND('Actividades'!$M46&gt;0,'Actividades'!$M46&lt;=T$9+6,'Actividades'!$N46&gt;=T$9),"H",""))</x:f>
      </x:c>
      <x:c r="U64" s="27" t="str">
        <x:f>IF(AND(ISNUMBER($F64),ISNUMBER($G64),$F64&lt;=U$9+6,$G64&gt;=U$9),IF('Actividades'!$M46&gt;0,"R","P"),IF(AND('Actividades'!$M46&gt;0,'Actividades'!$M46&lt;=U$9+6,'Actividades'!$N46&gt;=U$9),"H",""))</x:f>
      </x:c>
      <x:c r="V64" s="27" t="str">
        <x:f>IF(AND(ISNUMBER($F64),ISNUMBER($G64),$F64&lt;=V$9+6,$G64&gt;=V$9),IF('Actividades'!$M46&gt;0,"R","P"),IF(AND('Actividades'!$M46&gt;0,'Actividades'!$M46&lt;=V$9+6,'Actividades'!$N46&gt;=V$9),"H",""))</x:f>
        <x:v>P</x:v>
      </x:c>
      <x:c r="W64" s="27" t="str">
        <x:f>IF(AND(ISNUMBER($F64),ISNUMBER($G64),$F64&lt;=W$9+6,$G64&gt;=W$9),IF('Actividades'!$M46&gt;0,"R","P"),IF(AND('Actividades'!$M46&gt;0,'Actividades'!$M46&lt;=W$9+6,'Actividades'!$N46&gt;=W$9),"H",""))</x:f>
      </x:c>
      <x:c r="X64" s="27" t="str">
        <x:f>IF(AND(ISNUMBER($F64),ISNUMBER($G64),$F64&lt;=X$9+6,$G64&gt;=X$9),IF('Actividades'!$M46&gt;0,"R","P"),IF(AND('Actividades'!$M46&gt;0,'Actividades'!$M46&lt;=X$9+6,'Actividades'!$N46&gt;=X$9),"H",""))</x:f>
      </x:c>
      <x:c r="Y64" s="27" t="str">
        <x:f>IF(AND(ISNUMBER($F64),ISNUMBER($G64),$F64&lt;=Y$9+6,$G64&gt;=Y$9),IF('Actividades'!$M46&gt;0,"R","P"),IF(AND('Actividades'!$M46&gt;0,'Actividades'!$M46&lt;=Y$9+6,'Actividades'!$N46&gt;=Y$9),"H",""))</x:f>
      </x:c>
      <x:c r="Z64" s="27" t="str">
        <x:f>IF(AND(ISNUMBER($F64),ISNUMBER($G64),$F64&lt;=Z$9+6,$G64&gt;=Z$9),IF('Actividades'!$M46&gt;0,"R","P"),IF(AND('Actividades'!$M46&gt;0,'Actividades'!$M46&lt;=Z$9+6,'Actividades'!$N46&gt;=Z$9),"H",""))</x:f>
      </x:c>
    </x:row>
    <x:row r="65">
      <x:c r="A65" s="2"/>
      <x:c r="B65" s="2"/>
      <x:c r="C65" s="2"/>
      <x:c r="D65" s="2"/>
      <x:c r="E65" s="2"/>
      <x:c r="F65" s="25"/>
      <x:c r="G65" s="25"/>
      <x:c r="H65" s="2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24" customHeight="1">
      <x:c r="A66" s="7" t="str">
        <x:v>Sprint 7 planificado</x:v>
      </x:c>
      <x:c r="B66" s="7"/>
      <x:c r="C66" s="7"/>
      <x:c r="D66" s="7"/>
      <x:c r="E66" s="7" t="n">
        <x:f>SUMIFS('Actividades'!$F$7:$F$51,'Actividades'!$G$7:$G$51,A66)</x:f>
        <x:v>8</x:v>
      </x:c>
      <x:c r="F66" s="22"/>
      <x:c r="G66" s="22"/>
      <x:c r="H66" s="7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42" customHeight="1">
      <x:c r="A67" s="10" t="str">
        <x:f>IF('Actividades'!B47="",'Actividades'!A47,'Actividades'!B47)</x:f>
        <x:v>GEST-S7</x:v>
      </x:c>
      <x:c r="B67" s="10" t="str">
        <x:f>'Actividades'!C47</x:f>
        <x:v>Correcciones, revisión y retrospectiva Sprint 7</x:v>
      </x:c>
      <x:c r="C67" s="10" t="str">
        <x:f>IF('Actividades'!E47="No aplica","Propuesta",'Actividades'!E47)</x:f>
        <x:v>Propuesta</x:v>
      </x:c>
      <x:c r="D67" s="10" t="str">
        <x:f>'Actividades'!H47</x:f>
        <x:v>Pendiente</x:v>
      </x:c>
      <x:c r="E67" s="10" t="str">
        <x:f>IF('Actividades'!F47="","",'Actividades'!F47)</x:f>
      </x:c>
      <x:c r="F67" s="23" t="n">
        <x:f>IF('Actividades'!O47="","",'Actividades'!O47)</x:f>
        <x:v>46342</x:v>
      </x:c>
      <x:c r="G67" s="23" t="n">
        <x:f>IF('Actividades'!P47="","",'Actividades'!P47)</x:f>
        <x:v>46354</x:v>
      </x:c>
      <x:c r="H67" s="2"/>
      <x:c r="I67" s="27" t="str">
        <x:f>IF(AND(ISNUMBER($F67),ISNUMBER($G67),$F67&lt;=I$9+6,$G67&gt;=I$9),IF('Actividades'!$M47&gt;0,"R","P"),IF(AND('Actividades'!$M47&gt;0,'Actividades'!$M47&lt;=I$9+6,'Actividades'!$N47&gt;=I$9),"H",""))</x:f>
      </x:c>
      <x:c r="J67" s="27" t="str">
        <x:f>IF(AND(ISNUMBER($F67),ISNUMBER($G67),$F67&lt;=J$9+6,$G67&gt;=J$9),IF('Actividades'!$M47&gt;0,"R","P"),IF(AND('Actividades'!$M47&gt;0,'Actividades'!$M47&lt;=J$9+6,'Actividades'!$N47&gt;=J$9),"H",""))</x:f>
      </x:c>
      <x:c r="K67" s="27" t="str">
        <x:f>IF(AND(ISNUMBER($F67),ISNUMBER($G67),$F67&lt;=K$9+6,$G67&gt;=K$9),IF('Actividades'!$M47&gt;0,"R","P"),IF(AND('Actividades'!$M47&gt;0,'Actividades'!$M47&lt;=K$9+6,'Actividades'!$N47&gt;=K$9),"H",""))</x:f>
      </x:c>
      <x:c r="L67" s="27" t="str">
        <x:f>IF(AND(ISNUMBER($F67),ISNUMBER($G67),$F67&lt;=L$9+6,$G67&gt;=L$9),IF('Actividades'!$M47&gt;0,"R","P"),IF(AND('Actividades'!$M47&gt;0,'Actividades'!$M47&lt;=L$9+6,'Actividades'!$N47&gt;=L$9),"H",""))</x:f>
      </x:c>
      <x:c r="M67" s="27" t="str">
        <x:f>IF(AND(ISNUMBER($F67),ISNUMBER($G67),$F67&lt;=M$9+6,$G67&gt;=M$9),IF('Actividades'!$M47&gt;0,"R","P"),IF(AND('Actividades'!$M47&gt;0,'Actividades'!$M47&lt;=M$9+6,'Actividades'!$N47&gt;=M$9),"H",""))</x:f>
      </x:c>
      <x:c r="N67" s="27" t="str">
        <x:f>IF(AND(ISNUMBER($F67),ISNUMBER($G67),$F67&lt;=N$9+6,$G67&gt;=N$9),IF('Actividades'!$M47&gt;0,"R","P"),IF(AND('Actividades'!$M47&gt;0,'Actividades'!$M47&lt;=N$9+6,'Actividades'!$N47&gt;=N$9),"H",""))</x:f>
      </x:c>
      <x:c r="O67" s="27" t="str">
        <x:f>IF(AND(ISNUMBER($F67),ISNUMBER($G67),$F67&lt;=O$9+6,$G67&gt;=O$9),IF('Actividades'!$M47&gt;0,"R","P"),IF(AND('Actividades'!$M47&gt;0,'Actividades'!$M47&lt;=O$9+6,'Actividades'!$N47&gt;=O$9),"H",""))</x:f>
      </x:c>
      <x:c r="P67" s="27" t="str">
        <x:f>IF(AND(ISNUMBER($F67),ISNUMBER($G67),$F67&lt;=P$9+6,$G67&gt;=P$9),IF('Actividades'!$M47&gt;0,"R","P"),IF(AND('Actividades'!$M47&gt;0,'Actividades'!$M47&lt;=P$9+6,'Actividades'!$N47&gt;=P$9),"H",""))</x:f>
      </x:c>
      <x:c r="Q67" s="27" t="str">
        <x:f>IF(AND(ISNUMBER($F67),ISNUMBER($G67),$F67&lt;=Q$9+6,$G67&gt;=Q$9),IF('Actividades'!$M47&gt;0,"R","P"),IF(AND('Actividades'!$M47&gt;0,'Actividades'!$M47&lt;=Q$9+6,'Actividades'!$N47&gt;=Q$9),"H",""))</x:f>
      </x:c>
      <x:c r="R67" s="27" t="str">
        <x:f>IF(AND(ISNUMBER($F67),ISNUMBER($G67),$F67&lt;=R$9+6,$G67&gt;=R$9),IF('Actividades'!$M47&gt;0,"R","P"),IF(AND('Actividades'!$M47&gt;0,'Actividades'!$M47&lt;=R$9+6,'Actividades'!$N47&gt;=R$9),"H",""))</x:f>
      </x:c>
      <x:c r="S67" s="27" t="str">
        <x:f>IF(AND(ISNUMBER($F67),ISNUMBER($G67),$F67&lt;=S$9+6,$G67&gt;=S$9),IF('Actividades'!$M47&gt;0,"R","P"),IF(AND('Actividades'!$M47&gt;0,'Actividades'!$M47&lt;=S$9+6,'Actividades'!$N47&gt;=S$9),"H",""))</x:f>
      </x:c>
      <x:c r="T67" s="27" t="str">
        <x:f>IF(AND(ISNUMBER($F67),ISNUMBER($G67),$F67&lt;=T$9+6,$G67&gt;=T$9),IF('Actividades'!$M47&gt;0,"R","P"),IF(AND('Actividades'!$M47&gt;0,'Actividades'!$M47&lt;=T$9+6,'Actividades'!$N47&gt;=T$9),"H",""))</x:f>
      </x:c>
      <x:c r="U67" s="27" t="str">
        <x:f>IF(AND(ISNUMBER($F67),ISNUMBER($G67),$F67&lt;=U$9+6,$G67&gt;=U$9),IF('Actividades'!$M47&gt;0,"R","P"),IF(AND('Actividades'!$M47&gt;0,'Actividades'!$M47&lt;=U$9+6,'Actividades'!$N47&gt;=U$9),"H",""))</x:f>
      </x:c>
      <x:c r="V67" s="27" t="str">
        <x:f>IF(AND(ISNUMBER($F67),ISNUMBER($G67),$F67&lt;=V$9+6,$G67&gt;=V$9),IF('Actividades'!$M47&gt;0,"R","P"),IF(AND('Actividades'!$M47&gt;0,'Actividades'!$M47&lt;=V$9+6,'Actividades'!$N47&gt;=V$9),"H",""))</x:f>
      </x:c>
      <x:c r="W67" s="27" t="str">
        <x:f>IF(AND(ISNUMBER($F67),ISNUMBER($G67),$F67&lt;=W$9+6,$G67&gt;=W$9),IF('Actividades'!$M47&gt;0,"R","P"),IF(AND('Actividades'!$M47&gt;0,'Actividades'!$M47&lt;=W$9+6,'Actividades'!$N47&gt;=W$9),"H",""))</x:f>
        <x:v>P</x:v>
      </x:c>
      <x:c r="X67" s="27" t="str">
        <x:f>IF(AND(ISNUMBER($F67),ISNUMBER($G67),$F67&lt;=X$9+6,$G67&gt;=X$9),IF('Actividades'!$M47&gt;0,"R","P"),IF(AND('Actividades'!$M47&gt;0,'Actividades'!$M47&lt;=X$9+6,'Actividades'!$N47&gt;=X$9),"H",""))</x:f>
        <x:v>P</x:v>
      </x:c>
      <x:c r="Y67" s="27" t="str">
        <x:f>IF(AND(ISNUMBER($F67),ISNUMBER($G67),$F67&lt;=Y$9+6,$G67&gt;=Y$9),IF('Actividades'!$M47&gt;0,"R","P"),IF(AND('Actividades'!$M47&gt;0,'Actividades'!$M47&lt;=Y$9+6,'Actividades'!$N47&gt;=Y$9),"H",""))</x:f>
      </x:c>
      <x:c r="Z67" s="27" t="str">
        <x:f>IF(AND(ISNUMBER($F67),ISNUMBER($G67),$F67&lt;=Z$9+6,$G67&gt;=Z$9),IF('Actividades'!$M47&gt;0,"R","P"),IF(AND('Actividades'!$M47&gt;0,'Actividades'!$M47&lt;=Z$9+6,'Actividades'!$N47&gt;=Z$9),"H",""))</x:f>
      </x:c>
    </x:row>
    <x:row r="68" ht="42" customHeight="1">
      <x:c r="A68" s="21" t="str">
        <x:f>IF('Actividades'!B48="",'Actividades'!A48,'Actividades'!B48)</x:f>
        <x:v>SCRUM-45</x:v>
      </x:c>
      <x:c r="B68" s="21" t="str">
        <x:f>'Actividades'!C48</x:f>
        <x:v>Entrega final Fase 2</x:v>
      </x:c>
      <x:c r="C68" s="21" t="str">
        <x:f>IF('Actividades'!E48="No aplica","Propuesta",'Actividades'!E48)</x:f>
        <x:v>Pendiente</x:v>
      </x:c>
      <x:c r="D68" s="21" t="str">
        <x:f>'Actividades'!H48</x:f>
        <x:v>Pendiente</x:v>
      </x:c>
      <x:c r="E68" s="21" t="n">
        <x:f>IF('Actividades'!F48="","",'Actividades'!F48)</x:f>
        <x:v>8</x:v>
      </x:c>
      <x:c r="F68" s="24" t="n">
        <x:f>IF('Actividades'!O48="","",'Actividades'!O48)</x:f>
        <x:v>46342</x:v>
      </x:c>
      <x:c r="G68" s="24" t="n">
        <x:f>IF('Actividades'!P48="","",'Actividades'!P48)</x:f>
        <x:v>46347</x:v>
      </x:c>
      <x:c r="H68" s="2"/>
      <x:c r="I68" s="27" t="str">
        <x:f>IF(AND(ISNUMBER($F68),ISNUMBER($G68),$F68&lt;=I$9+6,$G68&gt;=I$9),IF('Actividades'!$M48&gt;0,"R","P"),IF(AND('Actividades'!$M48&gt;0,'Actividades'!$M48&lt;=I$9+6,'Actividades'!$N48&gt;=I$9),"H",""))</x:f>
      </x:c>
      <x:c r="J68" s="27" t="str">
        <x:f>IF(AND(ISNUMBER($F68),ISNUMBER($G68),$F68&lt;=J$9+6,$G68&gt;=J$9),IF('Actividades'!$M48&gt;0,"R","P"),IF(AND('Actividades'!$M48&gt;0,'Actividades'!$M48&lt;=J$9+6,'Actividades'!$N48&gt;=J$9),"H",""))</x:f>
      </x:c>
      <x:c r="K68" s="27" t="str">
        <x:f>IF(AND(ISNUMBER($F68),ISNUMBER($G68),$F68&lt;=K$9+6,$G68&gt;=K$9),IF('Actividades'!$M48&gt;0,"R","P"),IF(AND('Actividades'!$M48&gt;0,'Actividades'!$M48&lt;=K$9+6,'Actividades'!$N48&gt;=K$9),"H",""))</x:f>
      </x:c>
      <x:c r="L68" s="27" t="str">
        <x:f>IF(AND(ISNUMBER($F68),ISNUMBER($G68),$F68&lt;=L$9+6,$G68&gt;=L$9),IF('Actividades'!$M48&gt;0,"R","P"),IF(AND('Actividades'!$M48&gt;0,'Actividades'!$M48&lt;=L$9+6,'Actividades'!$N48&gt;=L$9),"H",""))</x:f>
      </x:c>
      <x:c r="M68" s="27" t="str">
        <x:f>IF(AND(ISNUMBER($F68),ISNUMBER($G68),$F68&lt;=M$9+6,$G68&gt;=M$9),IF('Actividades'!$M48&gt;0,"R","P"),IF(AND('Actividades'!$M48&gt;0,'Actividades'!$M48&lt;=M$9+6,'Actividades'!$N48&gt;=M$9),"H",""))</x:f>
      </x:c>
      <x:c r="N68" s="27" t="str">
        <x:f>IF(AND(ISNUMBER($F68),ISNUMBER($G68),$F68&lt;=N$9+6,$G68&gt;=N$9),IF('Actividades'!$M48&gt;0,"R","P"),IF(AND('Actividades'!$M48&gt;0,'Actividades'!$M48&lt;=N$9+6,'Actividades'!$N48&gt;=N$9),"H",""))</x:f>
      </x:c>
      <x:c r="O68" s="27" t="str">
        <x:f>IF(AND(ISNUMBER($F68),ISNUMBER($G68),$F68&lt;=O$9+6,$G68&gt;=O$9),IF('Actividades'!$M48&gt;0,"R","P"),IF(AND('Actividades'!$M48&gt;0,'Actividades'!$M48&lt;=O$9+6,'Actividades'!$N48&gt;=O$9),"H",""))</x:f>
      </x:c>
      <x:c r="P68" s="27" t="str">
        <x:f>IF(AND(ISNUMBER($F68),ISNUMBER($G68),$F68&lt;=P$9+6,$G68&gt;=P$9),IF('Actividades'!$M48&gt;0,"R","P"),IF(AND('Actividades'!$M48&gt;0,'Actividades'!$M48&lt;=P$9+6,'Actividades'!$N48&gt;=P$9),"H",""))</x:f>
      </x:c>
      <x:c r="Q68" s="27" t="str">
        <x:f>IF(AND(ISNUMBER($F68),ISNUMBER($G68),$F68&lt;=Q$9+6,$G68&gt;=Q$9),IF('Actividades'!$M48&gt;0,"R","P"),IF(AND('Actividades'!$M48&gt;0,'Actividades'!$M48&lt;=Q$9+6,'Actividades'!$N48&gt;=Q$9),"H",""))</x:f>
      </x:c>
      <x:c r="R68" s="27" t="str">
        <x:f>IF(AND(ISNUMBER($F68),ISNUMBER($G68),$F68&lt;=R$9+6,$G68&gt;=R$9),IF('Actividades'!$M48&gt;0,"R","P"),IF(AND('Actividades'!$M48&gt;0,'Actividades'!$M48&lt;=R$9+6,'Actividades'!$N48&gt;=R$9),"H",""))</x:f>
      </x:c>
      <x:c r="S68" s="27" t="str">
        <x:f>IF(AND(ISNUMBER($F68),ISNUMBER($G68),$F68&lt;=S$9+6,$G68&gt;=S$9),IF('Actividades'!$M48&gt;0,"R","P"),IF(AND('Actividades'!$M48&gt;0,'Actividades'!$M48&lt;=S$9+6,'Actividades'!$N48&gt;=S$9),"H",""))</x:f>
      </x:c>
      <x:c r="T68" s="27" t="str">
        <x:f>IF(AND(ISNUMBER($F68),ISNUMBER($G68),$F68&lt;=T$9+6,$G68&gt;=T$9),IF('Actividades'!$M48&gt;0,"R","P"),IF(AND('Actividades'!$M48&gt;0,'Actividades'!$M48&lt;=T$9+6,'Actividades'!$N48&gt;=T$9),"H",""))</x:f>
      </x:c>
      <x:c r="U68" s="27" t="str">
        <x:f>IF(AND(ISNUMBER($F68),ISNUMBER($G68),$F68&lt;=U$9+6,$G68&gt;=U$9),IF('Actividades'!$M48&gt;0,"R","P"),IF(AND('Actividades'!$M48&gt;0,'Actividades'!$M48&lt;=U$9+6,'Actividades'!$N48&gt;=U$9),"H",""))</x:f>
      </x:c>
      <x:c r="V68" s="27" t="str">
        <x:f>IF(AND(ISNUMBER($F68),ISNUMBER($G68),$F68&lt;=V$9+6,$G68&gt;=V$9),IF('Actividades'!$M48&gt;0,"R","P"),IF(AND('Actividades'!$M48&gt;0,'Actividades'!$M48&lt;=V$9+6,'Actividades'!$N48&gt;=V$9),"H",""))</x:f>
      </x:c>
      <x:c r="W68" s="27" t="str">
        <x:f>IF(AND(ISNUMBER($F68),ISNUMBER($G68),$F68&lt;=W$9+6,$G68&gt;=W$9),IF('Actividades'!$M48&gt;0,"R","P"),IF(AND('Actividades'!$M48&gt;0,'Actividades'!$M48&lt;=W$9+6,'Actividades'!$N48&gt;=W$9),"H",""))</x:f>
        <x:v>P</x:v>
      </x:c>
      <x:c r="X68" s="27" t="str">
        <x:f>IF(AND(ISNUMBER($F68),ISNUMBER($G68),$F68&lt;=X$9+6,$G68&gt;=X$9),IF('Actividades'!$M48&gt;0,"R","P"),IF(AND('Actividades'!$M48&gt;0,'Actividades'!$M48&lt;=X$9+6,'Actividades'!$N48&gt;=X$9),"H",""))</x:f>
      </x:c>
      <x:c r="Y68" s="27" t="str">
        <x:f>IF(AND(ISNUMBER($F68),ISNUMBER($G68),$F68&lt;=Y$9+6,$G68&gt;=Y$9),IF('Actividades'!$M48&gt;0,"R","P"),IF(AND('Actividades'!$M48&gt;0,'Actividades'!$M48&lt;=Y$9+6,'Actividades'!$N48&gt;=Y$9),"H",""))</x:f>
      </x:c>
      <x:c r="Z68" s="27" t="str">
        <x:f>IF(AND(ISNUMBER($F68),ISNUMBER($G68),$F68&lt;=Z$9+6,$G68&gt;=Z$9),IF('Actividades'!$M48&gt;0,"R","P"),IF(AND('Actividades'!$M48&gt;0,'Actividades'!$M48&lt;=Z$9+6,'Actividades'!$N48&gt;=Z$9),"H",""))</x:f>
      </x:c>
    </x:row>
    <x:row r="69">
      <x:c r="A69" s="2"/>
      <x:c r="B69" s="2"/>
      <x:c r="C69" s="2"/>
      <x:c r="D69" s="2"/>
      <x:c r="E69" s="2"/>
      <x:c r="F69" s="25"/>
      <x:c r="G69" s="25"/>
      <x:c r="H69" s="2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24" customHeight="1">
      <x:c r="A70" s="7" t="str">
        <x:v>Defensa y cierre</x:v>
      </x:c>
      <x:c r="B70" s="7"/>
      <x:c r="C70" s="7"/>
      <x:c r="D70" s="7"/>
      <x:c r="E70" s="7" t="n">
        <x:f>SUMIFS('Actividades'!$F$7:$F$51,'Actividades'!$G$7:$G$51,A70)</x:f>
        <x:v>5</x:v>
      </x:c>
      <x:c r="F70" s="22"/>
      <x:c r="G70" s="22"/>
      <x:c r="H70" s="7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42" customHeight="1">
      <x:c r="A71" s="10" t="str">
        <x:f>IF('Actividades'!B49="",'Actividades'!A49,'Actividades'!B49)</x:f>
        <x:v>SCRUM-46</x:v>
      </x:c>
      <x:c r="B71" s="10" t="str">
        <x:f>'Actividades'!C49</x:f>
        <x:v>Defensa y retrospectiva del proyecto</x:v>
      </x:c>
      <x:c r="C71" s="10" t="str">
        <x:f>IF('Actividades'!E49="No aplica","Propuesta",'Actividades'!E49)</x:f>
        <x:v>Pendiente</x:v>
      </x:c>
      <x:c r="D71" s="10" t="str">
        <x:f>'Actividades'!H49</x:f>
        <x:v>Pendiente</x:v>
      </x:c>
      <x:c r="E71" s="10" t="n">
        <x:f>IF('Actividades'!F49="","",'Actividades'!F49)</x:f>
        <x:v>5</x:v>
      </x:c>
      <x:c r="F71" s="23" t="n">
        <x:f>IF('Actividades'!O49="","",'Actividades'!O49)</x:f>
        <x:v>46349</x:v>
      </x:c>
      <x:c r="G71" s="23" t="n">
        <x:f>IF('Actividades'!P49="","",'Actividades'!P49)</x:f>
        <x:v>46368</x:v>
      </x:c>
      <x:c r="H71" s="2"/>
      <x:c r="I71" s="27" t="str">
        <x:f>IF(AND(ISNUMBER($F71),ISNUMBER($G71),$F71&lt;=I$9+6,$G71&gt;=I$9),IF('Actividades'!$M49&gt;0,"R","P"),IF(AND('Actividades'!$M49&gt;0,'Actividades'!$M49&lt;=I$9+6,'Actividades'!$N49&gt;=I$9),"H",""))</x:f>
      </x:c>
      <x:c r="J71" s="27" t="str">
        <x:f>IF(AND(ISNUMBER($F71),ISNUMBER($G71),$F71&lt;=J$9+6,$G71&gt;=J$9),IF('Actividades'!$M49&gt;0,"R","P"),IF(AND('Actividades'!$M49&gt;0,'Actividades'!$M49&lt;=J$9+6,'Actividades'!$N49&gt;=J$9),"H",""))</x:f>
      </x:c>
      <x:c r="K71" s="27" t="str">
        <x:f>IF(AND(ISNUMBER($F71),ISNUMBER($G71),$F71&lt;=K$9+6,$G71&gt;=K$9),IF('Actividades'!$M49&gt;0,"R","P"),IF(AND('Actividades'!$M49&gt;0,'Actividades'!$M49&lt;=K$9+6,'Actividades'!$N49&gt;=K$9),"H",""))</x:f>
      </x:c>
      <x:c r="L71" s="27" t="str">
        <x:f>IF(AND(ISNUMBER($F71),ISNUMBER($G71),$F71&lt;=L$9+6,$G71&gt;=L$9),IF('Actividades'!$M49&gt;0,"R","P"),IF(AND('Actividades'!$M49&gt;0,'Actividades'!$M49&lt;=L$9+6,'Actividades'!$N49&gt;=L$9),"H",""))</x:f>
      </x:c>
      <x:c r="M71" s="27" t="str">
        <x:f>IF(AND(ISNUMBER($F71),ISNUMBER($G71),$F71&lt;=M$9+6,$G71&gt;=M$9),IF('Actividades'!$M49&gt;0,"R","P"),IF(AND('Actividades'!$M49&gt;0,'Actividades'!$M49&lt;=M$9+6,'Actividades'!$N49&gt;=M$9),"H",""))</x:f>
      </x:c>
      <x:c r="N71" s="27" t="str">
        <x:f>IF(AND(ISNUMBER($F71),ISNUMBER($G71),$F71&lt;=N$9+6,$G71&gt;=N$9),IF('Actividades'!$M49&gt;0,"R","P"),IF(AND('Actividades'!$M49&gt;0,'Actividades'!$M49&lt;=N$9+6,'Actividades'!$N49&gt;=N$9),"H",""))</x:f>
      </x:c>
      <x:c r="O71" s="27" t="str">
        <x:f>IF(AND(ISNUMBER($F71),ISNUMBER($G71),$F71&lt;=O$9+6,$G71&gt;=O$9),IF('Actividades'!$M49&gt;0,"R","P"),IF(AND('Actividades'!$M49&gt;0,'Actividades'!$M49&lt;=O$9+6,'Actividades'!$N49&gt;=O$9),"H",""))</x:f>
      </x:c>
      <x:c r="P71" s="27" t="str">
        <x:f>IF(AND(ISNUMBER($F71),ISNUMBER($G71),$F71&lt;=P$9+6,$G71&gt;=P$9),IF('Actividades'!$M49&gt;0,"R","P"),IF(AND('Actividades'!$M49&gt;0,'Actividades'!$M49&lt;=P$9+6,'Actividades'!$N49&gt;=P$9),"H",""))</x:f>
      </x:c>
      <x:c r="Q71" s="27" t="str">
        <x:f>IF(AND(ISNUMBER($F71),ISNUMBER($G71),$F71&lt;=Q$9+6,$G71&gt;=Q$9),IF('Actividades'!$M49&gt;0,"R","P"),IF(AND('Actividades'!$M49&gt;0,'Actividades'!$M49&lt;=Q$9+6,'Actividades'!$N49&gt;=Q$9),"H",""))</x:f>
      </x:c>
      <x:c r="R71" s="27" t="str">
        <x:f>IF(AND(ISNUMBER($F71),ISNUMBER($G71),$F71&lt;=R$9+6,$G71&gt;=R$9),IF('Actividades'!$M49&gt;0,"R","P"),IF(AND('Actividades'!$M49&gt;0,'Actividades'!$M49&lt;=R$9+6,'Actividades'!$N49&gt;=R$9),"H",""))</x:f>
      </x:c>
      <x:c r="S71" s="27" t="str">
        <x:f>IF(AND(ISNUMBER($F71),ISNUMBER($G71),$F71&lt;=S$9+6,$G71&gt;=S$9),IF('Actividades'!$M49&gt;0,"R","P"),IF(AND('Actividades'!$M49&gt;0,'Actividades'!$M49&lt;=S$9+6,'Actividades'!$N49&gt;=S$9),"H",""))</x:f>
      </x:c>
      <x:c r="T71" s="27" t="str">
        <x:f>IF(AND(ISNUMBER($F71),ISNUMBER($G71),$F71&lt;=T$9+6,$G71&gt;=T$9),IF('Actividades'!$M49&gt;0,"R","P"),IF(AND('Actividades'!$M49&gt;0,'Actividades'!$M49&lt;=T$9+6,'Actividades'!$N49&gt;=T$9),"H",""))</x:f>
      </x:c>
      <x:c r="U71" s="27" t="str">
        <x:f>IF(AND(ISNUMBER($F71),ISNUMBER($G71),$F71&lt;=U$9+6,$G71&gt;=U$9),IF('Actividades'!$M49&gt;0,"R","P"),IF(AND('Actividades'!$M49&gt;0,'Actividades'!$M49&lt;=U$9+6,'Actividades'!$N49&gt;=U$9),"H",""))</x:f>
      </x:c>
      <x:c r="V71" s="27" t="str">
        <x:f>IF(AND(ISNUMBER($F71),ISNUMBER($G71),$F71&lt;=V$9+6,$G71&gt;=V$9),IF('Actividades'!$M49&gt;0,"R","P"),IF(AND('Actividades'!$M49&gt;0,'Actividades'!$M49&lt;=V$9+6,'Actividades'!$N49&gt;=V$9),"H",""))</x:f>
      </x:c>
      <x:c r="W71" s="27" t="str">
        <x:f>IF(AND(ISNUMBER($F71),ISNUMBER($G71),$F71&lt;=W$9+6,$G71&gt;=W$9),IF('Actividades'!$M49&gt;0,"R","P"),IF(AND('Actividades'!$M49&gt;0,'Actividades'!$M49&lt;=W$9+6,'Actividades'!$N49&gt;=W$9),"H",""))</x:f>
      </x:c>
      <x:c r="X71" s="27" t="str">
        <x:f>IF(AND(ISNUMBER($F71),ISNUMBER($G71),$F71&lt;=X$9+6,$G71&gt;=X$9),IF('Actividades'!$M49&gt;0,"R","P"),IF(AND('Actividades'!$M49&gt;0,'Actividades'!$M49&lt;=X$9+6,'Actividades'!$N49&gt;=X$9),"H",""))</x:f>
        <x:v>P</x:v>
      </x:c>
      <x:c r="Y71" s="27" t="str">
        <x:f>IF(AND(ISNUMBER($F71),ISNUMBER($G71),$F71&lt;=Y$9+6,$G71&gt;=Y$9),IF('Actividades'!$M49&gt;0,"R","P"),IF(AND('Actividades'!$M49&gt;0,'Actividades'!$M49&lt;=Y$9+6,'Actividades'!$N49&gt;=Y$9),"H",""))</x:f>
        <x:v>P</x:v>
      </x:c>
      <x:c r="Z71" s="27" t="str">
        <x:f>IF(AND(ISNUMBER($F71),ISNUMBER($G71),$F71&lt;=Z$9+6,$G71&gt;=Z$9),IF('Actividades'!$M49&gt;0,"R","P"),IF(AND('Actividades'!$M49&gt;0,'Actividades'!$M49&lt;=Z$9+6,'Actividades'!$N49&gt;=Z$9),"H",""))</x:f>
        <x:v>P</x:v>
      </x:c>
    </x:row>
    <x:row r="72">
      <x:c r="A72" s="2"/>
      <x:c r="B72" s="2"/>
      <x:c r="C72" s="2"/>
      <x:c r="D72" s="2"/>
      <x:c r="E72" s="2"/>
      <x:c r="F72" s="25"/>
      <x:c r="G72" s="25"/>
      <x:c r="H72" s="2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24" customHeight="1">
      <x:c r="A73" s="7" t="str">
        <x:v>Opcional sin fecha</x:v>
      </x:c>
      <x:c r="B73" s="7"/>
      <x:c r="C73" s="7"/>
      <x:c r="D73" s="7"/>
      <x:c r="E73" s="7" t="n">
        <x:f>SUMIFS('Actividades'!$F$7:$F$51,'Actividades'!$G$7:$G$51,A73)</x:f>
        <x:v>10</x:v>
      </x:c>
      <x:c r="F73" s="22"/>
      <x:c r="G73" s="22"/>
      <x:c r="H73" s="7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42" customHeight="1">
      <x:c r="A74" s="21" t="str">
        <x:f>IF('Actividades'!B50="",'Actividades'!A50,'Actividades'!B50)</x:f>
        <x:v>SCRUM-30</x:v>
      </x:c>
      <x:c r="B74" s="21" t="str">
        <x:f>'Actividades'!C50</x:f>
        <x:v>Importación validada</x:v>
      </x:c>
      <x:c r="C74" s="21" t="str">
        <x:f>IF('Actividades'!E50="No aplica","Propuesta",'Actividades'!E50)</x:f>
        <x:v>Pendiente</x:v>
      </x:c>
      <x:c r="D74" s="21" t="str">
        <x:f>'Actividades'!H50</x:f>
        <x:v>Pendiente</x:v>
      </x:c>
      <x:c r="E74" s="21" t="n">
        <x:f>IF('Actividades'!F50="","",'Actividades'!F50)</x:f>
        <x:v>5</x:v>
      </x:c>
      <x:c r="F74" s="24" t="str">
        <x:f>IF('Actividades'!O50="","",'Actividades'!O50)</x:f>
      </x:c>
      <x:c r="G74" s="24" t="str">
        <x:f>IF('Actividades'!P50="","",'Actividades'!P50)</x:f>
      </x:c>
      <x:c r="H74" s="2"/>
      <x:c r="I74" s="27" t="str">
        <x:f>IF(AND(ISNUMBER($F74),ISNUMBER($G74),$F74&lt;=I$9+6,$G74&gt;=I$9),IF('Actividades'!$M50&gt;0,"R","P"),IF(AND('Actividades'!$M50&gt;0,'Actividades'!$M50&lt;=I$9+6,'Actividades'!$N50&gt;=I$9),"H",""))</x:f>
      </x:c>
      <x:c r="J74" s="27" t="str">
        <x:f>IF(AND(ISNUMBER($F74),ISNUMBER($G74),$F74&lt;=J$9+6,$G74&gt;=J$9),IF('Actividades'!$M50&gt;0,"R","P"),IF(AND('Actividades'!$M50&gt;0,'Actividades'!$M50&lt;=J$9+6,'Actividades'!$N50&gt;=J$9),"H",""))</x:f>
      </x:c>
      <x:c r="K74" s="27" t="str">
        <x:f>IF(AND(ISNUMBER($F74),ISNUMBER($G74),$F74&lt;=K$9+6,$G74&gt;=K$9),IF('Actividades'!$M50&gt;0,"R","P"),IF(AND('Actividades'!$M50&gt;0,'Actividades'!$M50&lt;=K$9+6,'Actividades'!$N50&gt;=K$9),"H",""))</x:f>
      </x:c>
      <x:c r="L74" s="27" t="str">
        <x:f>IF(AND(ISNUMBER($F74),ISNUMBER($G74),$F74&lt;=L$9+6,$G74&gt;=L$9),IF('Actividades'!$M50&gt;0,"R","P"),IF(AND('Actividades'!$M50&gt;0,'Actividades'!$M50&lt;=L$9+6,'Actividades'!$N50&gt;=L$9),"H",""))</x:f>
      </x:c>
      <x:c r="M74" s="27" t="str">
        <x:f>IF(AND(ISNUMBER($F74),ISNUMBER($G74),$F74&lt;=M$9+6,$G74&gt;=M$9),IF('Actividades'!$M50&gt;0,"R","P"),IF(AND('Actividades'!$M50&gt;0,'Actividades'!$M50&lt;=M$9+6,'Actividades'!$N50&gt;=M$9),"H",""))</x:f>
      </x:c>
      <x:c r="N74" s="27" t="str">
        <x:f>IF(AND(ISNUMBER($F74),ISNUMBER($G74),$F74&lt;=N$9+6,$G74&gt;=N$9),IF('Actividades'!$M50&gt;0,"R","P"),IF(AND('Actividades'!$M50&gt;0,'Actividades'!$M50&lt;=N$9+6,'Actividades'!$N50&gt;=N$9),"H",""))</x:f>
      </x:c>
      <x:c r="O74" s="27" t="str">
        <x:f>IF(AND(ISNUMBER($F74),ISNUMBER($G74),$F74&lt;=O$9+6,$G74&gt;=O$9),IF('Actividades'!$M50&gt;0,"R","P"),IF(AND('Actividades'!$M50&gt;0,'Actividades'!$M50&lt;=O$9+6,'Actividades'!$N50&gt;=O$9),"H",""))</x:f>
      </x:c>
      <x:c r="P74" s="27" t="str">
        <x:f>IF(AND(ISNUMBER($F74),ISNUMBER($G74),$F74&lt;=P$9+6,$G74&gt;=P$9),IF('Actividades'!$M50&gt;0,"R","P"),IF(AND('Actividades'!$M50&gt;0,'Actividades'!$M50&lt;=P$9+6,'Actividades'!$N50&gt;=P$9),"H",""))</x:f>
      </x:c>
      <x:c r="Q74" s="27" t="str">
        <x:f>IF(AND(ISNUMBER($F74),ISNUMBER($G74),$F74&lt;=Q$9+6,$G74&gt;=Q$9),IF('Actividades'!$M50&gt;0,"R","P"),IF(AND('Actividades'!$M50&gt;0,'Actividades'!$M50&lt;=Q$9+6,'Actividades'!$N50&gt;=Q$9),"H",""))</x:f>
      </x:c>
      <x:c r="R74" s="27" t="str">
        <x:f>IF(AND(ISNUMBER($F74),ISNUMBER($G74),$F74&lt;=R$9+6,$G74&gt;=R$9),IF('Actividades'!$M50&gt;0,"R","P"),IF(AND('Actividades'!$M50&gt;0,'Actividades'!$M50&lt;=R$9+6,'Actividades'!$N50&gt;=R$9),"H",""))</x:f>
      </x:c>
      <x:c r="S74" s="27" t="str">
        <x:f>IF(AND(ISNUMBER($F74),ISNUMBER($G74),$F74&lt;=S$9+6,$G74&gt;=S$9),IF('Actividades'!$M50&gt;0,"R","P"),IF(AND('Actividades'!$M50&gt;0,'Actividades'!$M50&lt;=S$9+6,'Actividades'!$N50&gt;=S$9),"H",""))</x:f>
      </x:c>
      <x:c r="T74" s="27" t="str">
        <x:f>IF(AND(ISNUMBER($F74),ISNUMBER($G74),$F74&lt;=T$9+6,$G74&gt;=T$9),IF('Actividades'!$M50&gt;0,"R","P"),IF(AND('Actividades'!$M50&gt;0,'Actividades'!$M50&lt;=T$9+6,'Actividades'!$N50&gt;=T$9),"H",""))</x:f>
      </x:c>
      <x:c r="U74" s="27" t="str">
        <x:f>IF(AND(ISNUMBER($F74),ISNUMBER($G74),$F74&lt;=U$9+6,$G74&gt;=U$9),IF('Actividades'!$M50&gt;0,"R","P"),IF(AND('Actividades'!$M50&gt;0,'Actividades'!$M50&lt;=U$9+6,'Actividades'!$N50&gt;=U$9),"H",""))</x:f>
      </x:c>
      <x:c r="V74" s="27" t="str">
        <x:f>IF(AND(ISNUMBER($F74),ISNUMBER($G74),$F74&lt;=V$9+6,$G74&gt;=V$9),IF('Actividades'!$M50&gt;0,"R","P"),IF(AND('Actividades'!$M50&gt;0,'Actividades'!$M50&lt;=V$9+6,'Actividades'!$N50&gt;=V$9),"H",""))</x:f>
      </x:c>
      <x:c r="W74" s="27" t="str">
        <x:f>IF(AND(ISNUMBER($F74),ISNUMBER($G74),$F74&lt;=W$9+6,$G74&gt;=W$9),IF('Actividades'!$M50&gt;0,"R","P"),IF(AND('Actividades'!$M50&gt;0,'Actividades'!$M50&lt;=W$9+6,'Actividades'!$N50&gt;=W$9),"H",""))</x:f>
      </x:c>
      <x:c r="X74" s="27" t="str">
        <x:f>IF(AND(ISNUMBER($F74),ISNUMBER($G74),$F74&lt;=X$9+6,$G74&gt;=X$9),IF('Actividades'!$M50&gt;0,"R","P"),IF(AND('Actividades'!$M50&gt;0,'Actividades'!$M50&lt;=X$9+6,'Actividades'!$N50&gt;=X$9),"H",""))</x:f>
      </x:c>
      <x:c r="Y74" s="27" t="str">
        <x:f>IF(AND(ISNUMBER($F74),ISNUMBER($G74),$F74&lt;=Y$9+6,$G74&gt;=Y$9),IF('Actividades'!$M50&gt;0,"R","P"),IF(AND('Actividades'!$M50&gt;0,'Actividades'!$M50&lt;=Y$9+6,'Actividades'!$N50&gt;=Y$9),"H",""))</x:f>
      </x:c>
      <x:c r="Z74" s="27" t="str">
        <x:f>IF(AND(ISNUMBER($F74),ISNUMBER($G74),$F74&lt;=Z$9+6,$G74&gt;=Z$9),IF('Actividades'!$M50&gt;0,"R","P"),IF(AND('Actividades'!$M50&gt;0,'Actividades'!$M50&lt;=Z$9+6,'Actividades'!$N50&gt;=Z$9),"H",""))</x:f>
      </x:c>
    </x:row>
    <x:row r="75" ht="42" customHeight="1">
      <x:c r="A75" s="10" t="str">
        <x:f>IF('Actividades'!B51="",'Actividades'!A51,'Actividades'!B51)</x:f>
        <x:v>SCRUM-39</x:v>
      </x:c>
      <x:c r="B75" s="10" t="str">
        <x:f>'Actividades'!C51</x:f>
        <x:v>Exportación de reportes</x:v>
      </x:c>
      <x:c r="C75" s="10" t="str">
        <x:f>IF('Actividades'!E51="No aplica","Propuesta",'Actividades'!E51)</x:f>
        <x:v>Pendiente</x:v>
      </x:c>
      <x:c r="D75" s="10" t="str">
        <x:f>'Actividades'!H51</x:f>
        <x:v>Pendiente</x:v>
      </x:c>
      <x:c r="E75" s="10" t="n">
        <x:f>IF('Actividades'!F51="","",'Actividades'!F51)</x:f>
        <x:v>5</x:v>
      </x:c>
      <x:c r="F75" s="23" t="str">
        <x:f>IF('Actividades'!O51="","",'Actividades'!O51)</x:f>
      </x:c>
      <x:c r="G75" s="23" t="str">
        <x:f>IF('Actividades'!P51="","",'Actividades'!P51)</x:f>
      </x:c>
      <x:c r="H75" s="2"/>
      <x:c r="I75" s="27" t="str">
        <x:f>IF(AND(ISNUMBER($F75),ISNUMBER($G75),$F75&lt;=I$9+6,$G75&gt;=I$9),IF('Actividades'!$M51&gt;0,"R","P"),IF(AND('Actividades'!$M51&gt;0,'Actividades'!$M51&lt;=I$9+6,'Actividades'!$N51&gt;=I$9),"H",""))</x:f>
      </x:c>
      <x:c r="J75" s="27" t="str">
        <x:f>IF(AND(ISNUMBER($F75),ISNUMBER($G75),$F75&lt;=J$9+6,$G75&gt;=J$9),IF('Actividades'!$M51&gt;0,"R","P"),IF(AND('Actividades'!$M51&gt;0,'Actividades'!$M51&lt;=J$9+6,'Actividades'!$N51&gt;=J$9),"H",""))</x:f>
      </x:c>
      <x:c r="K75" s="27" t="str">
        <x:f>IF(AND(ISNUMBER($F75),ISNUMBER($G75),$F75&lt;=K$9+6,$G75&gt;=K$9),IF('Actividades'!$M51&gt;0,"R","P"),IF(AND('Actividades'!$M51&gt;0,'Actividades'!$M51&lt;=K$9+6,'Actividades'!$N51&gt;=K$9),"H",""))</x:f>
      </x:c>
      <x:c r="L75" s="27" t="str">
        <x:f>IF(AND(ISNUMBER($F75),ISNUMBER($G75),$F75&lt;=L$9+6,$G75&gt;=L$9),IF('Actividades'!$M51&gt;0,"R","P"),IF(AND('Actividades'!$M51&gt;0,'Actividades'!$M51&lt;=L$9+6,'Actividades'!$N51&gt;=L$9),"H",""))</x:f>
      </x:c>
      <x:c r="M75" s="27" t="str">
        <x:f>IF(AND(ISNUMBER($F75),ISNUMBER($G75),$F75&lt;=M$9+6,$G75&gt;=M$9),IF('Actividades'!$M51&gt;0,"R","P"),IF(AND('Actividades'!$M51&gt;0,'Actividades'!$M51&lt;=M$9+6,'Actividades'!$N51&gt;=M$9),"H",""))</x:f>
      </x:c>
      <x:c r="N75" s="27" t="str">
        <x:f>IF(AND(ISNUMBER($F75),ISNUMBER($G75),$F75&lt;=N$9+6,$G75&gt;=N$9),IF('Actividades'!$M51&gt;0,"R","P"),IF(AND('Actividades'!$M51&gt;0,'Actividades'!$M51&lt;=N$9+6,'Actividades'!$N51&gt;=N$9),"H",""))</x:f>
      </x:c>
      <x:c r="O75" s="27" t="str">
        <x:f>IF(AND(ISNUMBER($F75),ISNUMBER($G75),$F75&lt;=O$9+6,$G75&gt;=O$9),IF('Actividades'!$M51&gt;0,"R","P"),IF(AND('Actividades'!$M51&gt;0,'Actividades'!$M51&lt;=O$9+6,'Actividades'!$N51&gt;=O$9),"H",""))</x:f>
      </x:c>
      <x:c r="P75" s="27" t="str">
        <x:f>IF(AND(ISNUMBER($F75),ISNUMBER($G75),$F75&lt;=P$9+6,$G75&gt;=P$9),IF('Actividades'!$M51&gt;0,"R","P"),IF(AND('Actividades'!$M51&gt;0,'Actividades'!$M51&lt;=P$9+6,'Actividades'!$N51&gt;=P$9),"H",""))</x:f>
      </x:c>
      <x:c r="Q75" s="27" t="str">
        <x:f>IF(AND(ISNUMBER($F75),ISNUMBER($G75),$F75&lt;=Q$9+6,$G75&gt;=Q$9),IF('Actividades'!$M51&gt;0,"R","P"),IF(AND('Actividades'!$M51&gt;0,'Actividades'!$M51&lt;=Q$9+6,'Actividades'!$N51&gt;=Q$9),"H",""))</x:f>
      </x:c>
      <x:c r="R75" s="27" t="str">
        <x:f>IF(AND(ISNUMBER($F75),ISNUMBER($G75),$F75&lt;=R$9+6,$G75&gt;=R$9),IF('Actividades'!$M51&gt;0,"R","P"),IF(AND('Actividades'!$M51&gt;0,'Actividades'!$M51&lt;=R$9+6,'Actividades'!$N51&gt;=R$9),"H",""))</x:f>
      </x:c>
      <x:c r="S75" s="27" t="str">
        <x:f>IF(AND(ISNUMBER($F75),ISNUMBER($G75),$F75&lt;=S$9+6,$G75&gt;=S$9),IF('Actividades'!$M51&gt;0,"R","P"),IF(AND('Actividades'!$M51&gt;0,'Actividades'!$M51&lt;=S$9+6,'Actividades'!$N51&gt;=S$9),"H",""))</x:f>
      </x:c>
      <x:c r="T75" s="27" t="str">
        <x:f>IF(AND(ISNUMBER($F75),ISNUMBER($G75),$F75&lt;=T$9+6,$G75&gt;=T$9),IF('Actividades'!$M51&gt;0,"R","P"),IF(AND('Actividades'!$M51&gt;0,'Actividades'!$M51&lt;=T$9+6,'Actividades'!$N51&gt;=T$9),"H",""))</x:f>
      </x:c>
      <x:c r="U75" s="27" t="str">
        <x:f>IF(AND(ISNUMBER($F75),ISNUMBER($G75),$F75&lt;=U$9+6,$G75&gt;=U$9),IF('Actividades'!$M51&gt;0,"R","P"),IF(AND('Actividades'!$M51&gt;0,'Actividades'!$M51&lt;=U$9+6,'Actividades'!$N51&gt;=U$9),"H",""))</x:f>
      </x:c>
      <x:c r="V75" s="27" t="str">
        <x:f>IF(AND(ISNUMBER($F75),ISNUMBER($G75),$F75&lt;=V$9+6,$G75&gt;=V$9),IF('Actividades'!$M51&gt;0,"R","P"),IF(AND('Actividades'!$M51&gt;0,'Actividades'!$M51&lt;=V$9+6,'Actividades'!$N51&gt;=V$9),"H",""))</x:f>
      </x:c>
      <x:c r="W75" s="27" t="str">
        <x:f>IF(AND(ISNUMBER($F75),ISNUMBER($G75),$F75&lt;=W$9+6,$G75&gt;=W$9),IF('Actividades'!$M51&gt;0,"R","P"),IF(AND('Actividades'!$M51&gt;0,'Actividades'!$M51&lt;=W$9+6,'Actividades'!$N51&gt;=W$9),"H",""))</x:f>
      </x:c>
      <x:c r="X75" s="27" t="str">
        <x:f>IF(AND(ISNUMBER($F75),ISNUMBER($G75),$F75&lt;=X$9+6,$G75&gt;=X$9),IF('Actividades'!$M51&gt;0,"R","P"),IF(AND('Actividades'!$M51&gt;0,'Actividades'!$M51&lt;=X$9+6,'Actividades'!$N51&gt;=X$9),"H",""))</x:f>
      </x:c>
      <x:c r="Y75" s="27" t="str">
        <x:f>IF(AND(ISNUMBER($F75),ISNUMBER($G75),$F75&lt;=Y$9+6,$G75&gt;=Y$9),IF('Actividades'!$M51&gt;0,"R","P"),IF(AND('Actividades'!$M51&gt;0,'Actividades'!$M51&lt;=Y$9+6,'Actividades'!$N51&gt;=Y$9),"H",""))</x:f>
      </x:c>
      <x:c r="Z75" s="27" t="str">
        <x:f>IF(AND(ISNUMBER($F75),ISNUMBER($G75),$F75&lt;=Z$9+6,$G75&gt;=Z$9),IF('Actividades'!$M51&gt;0,"R","P"),IF(AND('Actividades'!$M51&gt;0,'Actividades'!$M51&lt;=Z$9+6,'Actividades'!$N51&gt;=Z$9),"H",""))</x:f>
      </x:c>
    </x:row>
    <x:row r="76">
      <x:c r="A76" s="2"/>
      <x:c r="B76" s="2"/>
      <x:c r="C76" s="2"/>
      <x:c r="D76" s="2"/>
      <x:c r="E76" s="2"/>
      <x:c r="F76" s="25"/>
      <x:c r="G76" s="25"/>
      <x:c r="H76" s="2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</x:sheetData>
  <x:conditionalFormatting sqref="C10:C76">
    <x:cfRule type="containsText" dxfId="4" priority="1" operator="containsText" text="Terminada"/>
    <x:cfRule type="containsText" dxfId="5" priority="2" operator="containsText" text="En revisión"/>
    <x:cfRule type="containsText" dxfId="6" priority="3" operator="containsText" text="En curso"/>
    <x:cfRule type="containsText" dxfId="7" priority="4" operator="containsText" text="Pendiente"/>
  </x:conditionalFormatting>
  <x:conditionalFormatting sqref="I10:Z76">
    <x:cfRule type="expression" dxfId="8" priority="5">
      <x:formula>I10="H"</x:formula>
    </x:cfRule>
    <x:cfRule type="expression" dxfId="9" priority="6">
      <x:formula>I10="R"</x:formula>
    </x:cfRule>
    <x:cfRule type="expression" dxfId="10" priority="7">
      <x:formula>I10="P"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9B7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38" hidden="0" customWidth="1"/>
    <x:col min="4" max="4" width="28" hidden="0" customWidth="1"/>
    <x:col min="5" max="5" width="17" hidden="0" customWidth="1"/>
    <x:col min="6" max="6" width="8" hidden="0" customWidth="1"/>
    <x:col min="7" max="7" width="27" hidden="0" customWidth="1"/>
    <x:col min="8" max="8" width="18" hidden="0" customWidth="1"/>
    <x:col min="9" max="9" width="52" hidden="0" customWidth="1"/>
    <x:col min="10" max="10" width="62" hidden="0" customWidth="1"/>
    <x:col min="11" max="11" width="21" hidden="0" customWidth="1"/>
    <x:col min="12" max="12" width="21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40" hidden="0" customWidth="1"/>
    <x:col min="19" max="19" width="16" hidden="0" customWidth="1"/>
    <x:col min="20" max="20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4" t="str">
        <x:v>Actividades, evidencia y trabajo restante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>
      <x:c r="A3" s="2" t="str">
        <x:v>Sincronizado con Jira el 15-10-2026. K-L sigue siendo reparto propuesto. O-P coincide con inicio/vencimiento de Jira para las historias con fecha.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 t="str">
        <x:v>No hay responsables asignados en Jira. Los tres desarrollan, prueban y documentan; el reparto debe ratificarse.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>
      <x:c r="A5" s="2" t="str">
        <x:v>Una historia aparece una sola vez. Duración = días calendario propuestos, no horas ni esfuerzo. Vacío en fechas = sin compromiso.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6" customHeight="1">
      <x:c r="A6" s="9" t="str">
        <x:v>ID</x:v>
      </x:c>
      <x:c r="B6" s="9" t="str">
        <x:v>Jira</x:v>
      </x:c>
      <x:c r="C6" s="9" t="str">
        <x:v>Actividad</x:v>
      </x:c>
      <x:c r="D6" s="9" t="str">
        <x:v>Sprint en Jira</x:v>
      </x:c>
      <x:c r="E6" s="9" t="str">
        <x:v>Estado en Jira</x:v>
      </x:c>
      <x:c r="F6" s="9" t="str">
        <x:v>Puntos</x:v>
      </x:c>
      <x:c r="G6" s="9" t="str">
        <x:v>Grupo de la Gantt</x:v>
      </x:c>
      <x:c r="H6" s="9" t="str">
        <x:v>Disponible</x:v>
      </x:c>
      <x:c r="I6" s="9" t="str">
        <x:v>Qué tenemos</x:v>
      </x:c>
      <x:c r="J6" s="9" t="str">
        <x:v>Qué falta para cerrar</x:v>
      </x:c>
      <x:c r="K6" s="9" t="str">
        <x:v>Responsable propuesto</x:v>
      </x:c>
      <x:c r="L6" s="9" t="str">
        <x:v>Revisión propuesta</x:v>
      </x:c>
      <x:c r="M6" s="9" t="str">
        <x:v>Inicio histórico</x:v>
      </x:c>
      <x:c r="N6" s="9" t="str">
        <x:v>Fin histórico</x:v>
      </x:c>
      <x:c r="O6" s="9" t="str">
        <x:v>Inicio restante</x:v>
      </x:c>
      <x:c r="P6" s="9" t="str">
        <x:v>Fin restante</x:v>
      </x:c>
      <x:c r="Q6" s="9" t="str">
        <x:v>Días previstos</x:v>
      </x:c>
      <x:c r="R6" s="9" t="str">
        <x:v>Dependencias</x:v>
      </x:c>
      <x:c r="S6" s="9" t="str">
        <x:v>Prioridad</x:v>
      </x:c>
      <x:c r="T6" s="9" t="str">
        <x:v>Evidencia / fuente</x:v>
      </x:c>
    </x:row>
    <x:row r="7" ht="60" customHeight="1">
      <x:c r="A7" s="10" t="str">
        <x:v>PB-001</x:v>
      </x:c>
      <x:c r="B7" s="10" t="str">
        <x:v>SCRUM-13</x:v>
      </x:c>
      <x:c r="C7" s="10" t="str">
        <x:v>Validar problema usuarios y restricciones</x:v>
      </x:c>
      <x:c r="D7" s="10" t="str">
        <x:v>Sprint 0 - Histórico</x:v>
      </x:c>
      <x:c r="E7" s="10" t="str">
        <x:v>En revisión</x:v>
      </x:c>
      <x:c r="F7" s="14" t="n">
        <x:v>5</x:v>
      </x:c>
      <x:c r="G7" s="10" t="str">
        <x:v>Sprint 0</x:v>
      </x:c>
      <x:c r="H7" s="10" t="str">
        <x:v>Documentado</x:v>
      </x:c>
      <x:c r="I7" s="10" t="str">
        <x:v>Problema y actores descritos</x:v>
      </x:c>
      <x:c r="J7" s="10" t="str">
        <x:v>Validar con contraparte escolar y registrar observaciones</x:v>
      </x:c>
      <x:c r="K7" s="11" t="str">
        <x:v>Joel</x:v>
      </x:c>
      <x:c r="L7" s="11" t="str">
        <x:v>Matías</x:v>
      </x:c>
      <x:c r="M7" s="12" t="d">
        <x:v>2026-08-10T00:00:00.000Z</x:v>
      </x:c>
      <x:c r="N7" s="12" t="d">
        <x:v>2026-08-22T00:00:00.000Z</x:v>
      </x:c>
      <x:c r="O7" s="13" t="d">
        <x:v>2026-10-19T00:00:00.000Z</x:v>
      </x:c>
      <x:c r="P7" s="13" t="d">
        <x:v>2026-10-24T00:00:00.000Z</x:v>
      </x:c>
      <x:c r="Q7" s="10" t="n">
        <x:f>IF(OR(O7="",P7=""),"",P7-O7+1)</x:f>
        <x:v>6</x:v>
      </x:c>
      <x:c r="R7" s="10" t="str">
        <x:v>Contraparte educativa</x:v>
      </x:c>
      <x:c r="S7" s="10" t="str">
        <x:v>Obligatorio</x:v>
      </x:c>
      <x:c r="T7" s="10" t="str">
        <x:v>Análisis del caso y mapa de actores. https://sigaa-duoc-2026.atlassian.net/browse/SCRUM-13</x:v>
      </x:c>
    </x:row>
    <x:row r="8" ht="60" customHeight="1">
      <x:c r="A8" s="10" t="str">
        <x:v>PB-002</x:v>
      </x:c>
      <x:c r="B8" s="10" t="str">
        <x:v>SCRUM-14</x:v>
      </x:c>
      <x:c r="C8" s="10" t="str">
        <x:v>Product Vision y cuatro pilares</x:v>
      </x:c>
      <x:c r="D8" s="10" t="str">
        <x:v>Sprint 0 - Histórico</x:v>
      </x:c>
      <x:c r="E8" s="10" t="str">
        <x:v>En revisión</x:v>
      </x:c>
      <x:c r="F8" s="14" t="n">
        <x:v>3</x:v>
      </x:c>
      <x:c r="G8" s="10" t="str">
        <x:v>Sprint 0</x:v>
      </x:c>
      <x:c r="H8" s="10" t="str">
        <x:v>Documentado</x:v>
      </x:c>
      <x:c r="I8" s="10" t="str">
        <x:v>Visión y cuatro pilares</x:v>
      </x:c>
      <x:c r="J8" s="10" t="str">
        <x:v>Confirmar alcance y validar hipótesis escolares</x:v>
      </x:c>
      <x:c r="K8" s="11" t="str">
        <x:v>Equipo</x:v>
      </x:c>
      <x:c r="L8" s="11" t="str">
        <x:v>Revisión cruzada</x:v>
      </x:c>
      <x:c r="M8" s="12" t="d">
        <x:v>2026-08-10T00:00:00.000Z</x:v>
      </x:c>
      <x:c r="N8" s="12" t="d">
        <x:v>2026-08-22T00:00:00.000Z</x:v>
      </x:c>
      <x:c r="O8" s="13" t="d">
        <x:v>2026-10-19T00:00:00.000Z</x:v>
      </x:c>
      <x:c r="P8" s="13" t="d">
        <x:v>2026-10-24T00:00:00.000Z</x:v>
      </x:c>
      <x:c r="Q8" s="10" t="n">
        <x:f>IF(OR(O8="",P8=""),"",P8-O8+1)</x:f>
        <x:v>6</x:v>
      </x:c>
      <x:c r="R8" s="10" t="str">
        <x:v>PB-001</x:v>
      </x:c>
      <x:c r="S8" s="10" t="str">
        <x:v>Obligatorio</x:v>
      </x:c>
      <x:c r="T8" s="10" t="str">
        <x:v>Visión del proyecto. https://sigaa-duoc-2026.atlassian.net/browse/SCRUM-14</x:v>
      </x:c>
    </x:row>
    <x:row r="9" ht="60" customHeight="1">
      <x:c r="A9" s="10" t="str">
        <x:v>PB-003</x:v>
      </x:c>
      <x:c r="B9" s="10" t="str">
        <x:v>SCRUM-15</x:v>
      </x:c>
      <x:c r="C9" s="10" t="str">
        <x:v>Backlog priorizado y estimado</x:v>
      </x:c>
      <x:c r="D9" s="10" t="str">
        <x:v>Sprint 0 - Histórico</x:v>
      </x:c>
      <x:c r="E9" s="10" t="str">
        <x:v>En revisión</x:v>
      </x:c>
      <x:c r="F9" s="14" t="n">
        <x:v>5</x:v>
      </x:c>
      <x:c r="G9" s="10" t="str">
        <x:v>Sprint 0</x:v>
      </x:c>
      <x:c r="H9" s="10" t="str">
        <x:v>Documentado</x:v>
      </x:c>
      <x:c r="I9" s="10" t="str">
        <x:v>40 historias y estimaciones en Jira</x:v>
      </x:c>
      <x:c r="J9" s="10" t="str">
        <x:v>Ratificar prioridades y capacidad del equipo</x:v>
      </x:c>
      <x:c r="K9" s="11" t="str">
        <x:v>Equipo</x:v>
      </x:c>
      <x:c r="L9" s="11" t="str">
        <x:v>Revisión cruzada</x:v>
      </x:c>
      <x:c r="M9" s="12" t="d">
        <x:v>2026-08-10T00:00:00.000Z</x:v>
      </x:c>
      <x:c r="N9" s="12" t="d">
        <x:v>2026-08-22T00:00:00.000Z</x:v>
      </x:c>
      <x:c r="O9" s="13" t="d">
        <x:v>2026-10-15T00:00:00.000Z</x:v>
      </x:c>
      <x:c r="P9" s="13" t="d">
        <x:v>2026-10-17T00:00:00.000Z</x:v>
      </x:c>
      <x:c r="Q9" s="10" t="n">
        <x:f>IF(OR(O9="",P9=""),"",P9-O9+1)</x:f>
        <x:v>3</x:v>
      </x:c>
      <x:c r="R9" s="10" t="str">
        <x:v>Disponibilidad del equipo</x:v>
      </x:c>
      <x:c r="S9" s="10" t="str">
        <x:v>Obligatorio</x:v>
      </x:c>
      <x:c r="T9" s="10" t="str">
        <x:v>Consulta Jira del 15-10. https://sigaa-duoc-2026.atlassian.net/browse/SCRUM-15</x:v>
      </x:c>
    </x:row>
    <x:row r="10" ht="60" customHeight="1">
      <x:c r="A10" s="10" t="str">
        <x:v>PB-004</x:v>
      </x:c>
      <x:c r="B10" s="10" t="str">
        <x:v>SCRUM-16</x:v>
      </x:c>
      <x:c r="C10" s="10" t="str">
        <x:v>Definition of Done</x:v>
      </x:c>
      <x:c r="D10" s="10" t="str">
        <x:v>Sprint 0 - Histórico</x:v>
      </x:c>
      <x:c r="E10" s="10" t="str">
        <x:v>En revisión</x:v>
      </x:c>
      <x:c r="F10" s="14" t="n">
        <x:v>2</x:v>
      </x:c>
      <x:c r="G10" s="10" t="str">
        <x:v>Sprint 0</x:v>
      </x:c>
      <x:c r="H10" s="10" t="str">
        <x:v>Documentado</x:v>
      </x:c>
      <x:c r="I10" s="10" t="str">
        <x:v>Criterios de terminado escritos</x:v>
      </x:c>
      <x:c r="J10" s="10" t="str">
        <x:v>Ratificar y aplicar criterios en la revisión</x:v>
      </x:c>
      <x:c r="K10" s="11" t="str">
        <x:v>Equipo</x:v>
      </x:c>
      <x:c r="L10" s="11" t="str">
        <x:v>Revisión cruzada</x:v>
      </x:c>
      <x:c r="M10" s="12" t="d">
        <x:v>2026-08-10T00:00:00.000Z</x:v>
      </x:c>
      <x:c r="N10" s="12" t="d">
        <x:v>2026-08-22T00:00:00.000Z</x:v>
      </x:c>
      <x:c r="O10" s="13" t="d">
        <x:v>2026-10-15T00:00:00.000Z</x:v>
      </x:c>
      <x:c r="P10" s="13" t="d">
        <x:v>2026-10-17T00:00:00.000Z</x:v>
      </x:c>
      <x:c r="Q10" s="10" t="n">
        <x:f>IF(OR(O10="",P10=""),"",P10-O10+1)</x:f>
        <x:v>3</x:v>
      </x:c>
      <x:c r="R10" s="10" t="str">
        <x:v>PB-003</x:v>
      </x:c>
      <x:c r="S10" s="10" t="str">
        <x:v>Obligatorio</x:v>
      </x:c>
      <x:c r="T10" s="10" t="str">
        <x:v>Definición de Terminado. https://sigaa-duoc-2026.atlassian.net/browse/SCRUM-16</x:v>
      </x:c>
    </x:row>
    <x:row r="11" ht="60" customHeight="1">
      <x:c r="A11" s="10" t="str">
        <x:v>PB-005</x:v>
      </x:c>
      <x:c r="B11" s="10" t="str">
        <x:v>SCRUM-17</x:v>
      </x:c>
      <x:c r="C11" s="10" t="str">
        <x:v>Repositorio README y trazabilidad</x:v>
      </x:c>
      <x:c r="D11" s="10" t="str">
        <x:v>Sprint 0 - Histórico</x:v>
      </x:c>
      <x:c r="E11" s="10" t="str">
        <x:v>En revisión</x:v>
      </x:c>
      <x:c r="F11" s="14" t="n">
        <x:v>3</x:v>
      </x:c>
      <x:c r="G11" s="10" t="str">
        <x:v>Sprint 0</x:v>
      </x:c>
      <x:c r="H11" s="10" t="str">
        <x:v>Documentado</x:v>
      </x:c>
      <x:c r="I11" s="10" t="str">
        <x:v>Código y expediente versionados</x:v>
      </x:c>
      <x:c r="J11" s="10" t="str">
        <x:v>Revisar publicación, índice y enlaces vigentes</x:v>
      </x:c>
      <x:c r="K11" s="11" t="str">
        <x:v>Equipo</x:v>
      </x:c>
      <x:c r="L11" s="11" t="str">
        <x:v>Revisión cruzada</x:v>
      </x:c>
      <x:c r="M11" s="12" t="d">
        <x:v>2026-08-10T00:00:00.000Z</x:v>
      </x:c>
      <x:c r="N11" s="12" t="d">
        <x:v>2026-08-22T00:00:00.000Z</x:v>
      </x:c>
      <x:c r="O11" s="13" t="d">
        <x:v>2026-10-15T00:00:00.000Z</x:v>
      </x:c>
      <x:c r="P11" s="13" t="d">
        <x:v>2026-10-17T00:00:00.000Z</x:v>
      </x:c>
      <x:c r="Q11" s="10" t="n">
        <x:f>IF(OR(O11="",P11=""),"",P11-O11+1)</x:f>
        <x:v>3</x:v>
      </x:c>
      <x:c r="R11" s="10" t="str">
        <x:v>Revisión de repositorio</x:v>
      </x:c>
      <x:c r="S11" s="10" t="str">
        <x:v>Obligatorio</x:v>
      </x:c>
      <x:c r="T11" s="10" t="str">
        <x:v>Repositorio SIGAA. https://sigaa-duoc-2026.atlassian.net/browse/SCRUM-17</x:v>
      </x:c>
    </x:row>
    <x:row r="12" ht="60" customHeight="1">
      <x:c r="A12" s="10" t="str">
        <x:v>PB-006</x:v>
      </x:c>
      <x:c r="B12" s="10" t="str">
        <x:v>SCRUM-18</x:v>
      </x:c>
      <x:c r="C12" s="10" t="str">
        <x:v>Arquitectura y decisiones técnicas</x:v>
      </x:c>
      <x:c r="D12" s="10" t="str">
        <x:v>Sprint 1 - Histórico</x:v>
      </x:c>
      <x:c r="E12" s="10" t="str">
        <x:v>Terminada</x:v>
      </x:c>
      <x:c r="F12" s="14" t="n">
        <x:v>5</x:v>
      </x:c>
      <x:c r="G12" s="10" t="str">
        <x:v>Sprint 1</x:v>
      </x:c>
      <x:c r="H12" s="10" t="str">
        <x:v>Documentado</x:v>
      </x:c>
      <x:c r="I12" s="10" t="str">
        <x:v>Arquitectura modular documentada</x:v>
      </x:c>
      <x:c r="J12" s="10" t="str">
        <x:v>Mantener coherencia con la versión final</x:v>
      </x:c>
      <x:c r="K12" s="11" t="str">
        <x:v>Equipo</x:v>
      </x:c>
      <x:c r="L12" s="11" t="str">
        <x:v>Revisión cruzada</x:v>
      </x:c>
      <x:c r="M12" s="12" t="d">
        <x:v>2026-08-24T00:00:00.000Z</x:v>
      </x:c>
      <x:c r="N12" s="12" t="d">
        <x:v>2026-09-05T00:00:00.000Z</x:v>
      </x:c>
      <x:c r="O12" s="13"/>
      <x:c r="P12" s="13"/>
      <x:c r="Q12" s="10" t="str">
        <x:f>IF(OR(O12="",P12=""),"",P12-O12+1)</x:f>
      </x:c>
      <x:c r="R12" s="10" t="str"/>
      <x:c r="S12" s="10" t="str">
        <x:v>Obligatorio</x:v>
      </x:c>
      <x:c r="T12" s="10" t="str">
        <x:v>Arquitectura vigente; Jira Terminada. https://sigaa-duoc-2026.atlassian.net/browse/SCRUM-18</x:v>
      </x:c>
    </x:row>
    <x:row r="13" ht="60" customHeight="1">
      <x:c r="A13" s="10" t="str">
        <x:v>PB-007</x:v>
      </x:c>
      <x:c r="B13" s="10" t="str">
        <x:v>SCRUM-19</x:v>
      </x:c>
      <x:c r="C13" s="10" t="str">
        <x:v>Modelo ER y diccionario de datos</x:v>
      </x:c>
      <x:c r="D13" s="10" t="str">
        <x:v>Sprint 1 - Histórico</x:v>
      </x:c>
      <x:c r="E13" s="10" t="str">
        <x:v>En revisión</x:v>
      </x:c>
      <x:c r="F13" s="14" t="n">
        <x:v>5</x:v>
      </x:c>
      <x:c r="G13" s="10" t="str">
        <x:v>Sprint 1</x:v>
      </x:c>
      <x:c r="H13" s="10" t="str">
        <x:v>Documentado</x:v>
      </x:c>
      <x:c r="I13" s="10" t="str">
        <x:v>ER, diccionario y migraciones</x:v>
      </x:c>
      <x:c r="J13" s="10" t="str">
        <x:v>Contrastar modelo con esquema actual y aceptar</x:v>
      </x:c>
      <x:c r="K13" s="11" t="str">
        <x:v>Matías</x:v>
      </x:c>
      <x:c r="L13" s="11" t="str">
        <x:v>Agustín</x:v>
      </x:c>
      <x:c r="M13" s="12" t="d">
        <x:v>2026-08-24T00:00:00.000Z</x:v>
      </x:c>
      <x:c r="N13" s="12" t="d">
        <x:v>2026-09-05T00:00:00.000Z</x:v>
      </x:c>
      <x:c r="O13" s="13" t="d">
        <x:v>2026-10-15T00:00:00.000Z</x:v>
      </x:c>
      <x:c r="P13" s="13" t="d">
        <x:v>2026-10-17T00:00:00.000Z</x:v>
      </x:c>
      <x:c r="Q13" s="10" t="n">
        <x:f>IF(OR(O13="",P13=""),"",P13-O13+1)</x:f>
        <x:v>3</x:v>
      </x:c>
      <x:c r="R13" s="10" t="str">
        <x:v>Migraciones 007 y 008</x:v>
      </x:c>
      <x:c r="S13" s="10" t="str">
        <x:v>Obligatorio</x:v>
      </x:c>
      <x:c r="T13" s="10" t="str">
        <x:v>Arquitectura de datos vigente. https://sigaa-duoc-2026.atlassian.net/browse/SCRUM-19</x:v>
      </x:c>
    </x:row>
    <x:row r="14" ht="60" customHeight="1">
      <x:c r="A14" s="10" t="str">
        <x:v>PB-008</x:v>
      </x:c>
      <x:c r="B14" s="10" t="str">
        <x:v>SCRUM-20</x:v>
      </x:c>
      <x:c r="C14" s="10" t="str">
        <x:v>Prototipo navegable validado</x:v>
      </x:c>
      <x:c r="D14" s="10" t="str">
        <x:v>Sprint 1 - Histórico</x:v>
      </x:c>
      <x:c r="E14" s="10" t="str">
        <x:v>En revisión</x:v>
      </x:c>
      <x:c r="F14" s="14" t="n">
        <x:v>5</x:v>
      </x:c>
      <x:c r="G14" s="10" t="str">
        <x:v>Sprint 1</x:v>
      </x:c>
      <x:c r="H14" s="10" t="str">
        <x:v>Documentado</x:v>
      </x:c>
      <x:c r="I14" s="10" t="str">
        <x:v>Prototipo y vistas por rol disponibles</x:v>
      </x:c>
      <x:c r="J14" s="10" t="str">
        <x:v>Revisar criterios de validación y aceptación</x:v>
      </x:c>
      <x:c r="K14" s="11" t="str">
        <x:v>Agustín</x:v>
      </x:c>
      <x:c r="L14" s="11" t="str">
        <x:v>Joel</x:v>
      </x:c>
      <x:c r="M14" s="12" t="d">
        <x:v>2026-08-24T00:00:00.000Z</x:v>
      </x:c>
      <x:c r="N14" s="12" t="d">
        <x:v>2026-09-05T00:00:00.000Z</x:v>
      </x:c>
      <x:c r="O14" s="13" t="d">
        <x:v>2026-10-15T00:00:00.000Z</x:v>
      </x:c>
      <x:c r="P14" s="13" t="d">
        <x:v>2026-10-17T00:00:00.000Z</x:v>
      </x:c>
      <x:c r="Q14" s="10" t="n">
        <x:f>IF(OR(O14="",P14=""),"",P14-O14+1)</x:f>
        <x:v>3</x:v>
      </x:c>
      <x:c r="R14" s="10" t="str">
        <x:v>Validación del PO</x:v>
      </x:c>
      <x:c r="S14" s="10" t="str">
        <x:v>Obligatorio</x:v>
      </x:c>
      <x:c r="T14" s="10" t="str">
        <x:v>Prototipo y navegación de cristal. https://sigaa-duoc-2026.atlassian.net/browse/SCRUM-20</x:v>
      </x:c>
    </x:row>
    <x:row r="15" ht="60" customHeight="1">
      <x:c r="A15" s="10" t="str">
        <x:v>PB-009</x:v>
      </x:c>
      <x:c r="B15" s="10" t="str">
        <x:v>SCRUM-21</x:v>
      </x:c>
      <x:c r="C15" s="10" t="str">
        <x:v>UML de flujos principales</x:v>
      </x:c>
      <x:c r="D15" s="10" t="str">
        <x:v>Sprint 1 - Histórico</x:v>
      </x:c>
      <x:c r="E15" s="10" t="str">
        <x:v>En curso</x:v>
      </x:c>
      <x:c r="F15" s="14" t="n">
        <x:v>5</x:v>
      </x:c>
      <x:c r="G15" s="10" t="str">
        <x:v>Sprint 1</x:v>
      </x:c>
      <x:c r="H15" s="10" t="str">
        <x:v>Parcial</x:v>
      </x:c>
      <x:c r="I15" s="10" t="str">
        <x:v>Flujos y diagramas iniciales</x:v>
      </x:c>
      <x:c r="J15" s="10" t="str">
        <x:v>Completar UML y actualizar con el flujo persistente</x:v>
      </x:c>
      <x:c r="K15" s="11" t="str">
        <x:v>Agustín</x:v>
      </x:c>
      <x:c r="L15" s="11" t="str">
        <x:v>Joel</x:v>
      </x:c>
      <x:c r="M15" s="12" t="d">
        <x:v>2026-08-24T00:00:00.000Z</x:v>
      </x:c>
      <x:c r="N15" s="12" t="d">
        <x:v>2026-09-05T00:00:00.000Z</x:v>
      </x:c>
      <x:c r="O15" s="13" t="d">
        <x:v>2026-10-19T00:00:00.000Z</x:v>
      </x:c>
      <x:c r="P15" s="13" t="d">
        <x:v>2026-10-24T00:00:00.000Z</x:v>
      </x:c>
      <x:c r="Q15" s="10" t="n">
        <x:f>IF(OR(O15="",P15=""),"",P15-O15+1)</x:f>
        <x:v>6</x:v>
      </x:c>
      <x:c r="R15" s="10" t="str">
        <x:v>PB-006 y PB-007</x:v>
      </x:c>
      <x:c r="S15" s="10" t="str">
        <x:v>Obligatorio</x:v>
      </x:c>
      <x:c r="T15" s="10" t="str">
        <x:v>Expediente de diseño. https://sigaa-duoc-2026.atlassian.net/browse/SCRUM-21</x:v>
      </x:c>
    </x:row>
    <x:row r="16" ht="60" customHeight="1">
      <x:c r="A16" s="10" t="str">
        <x:v>PB-010</x:v>
      </x:c>
      <x:c r="B16" s="10" t="str">
        <x:v>SCRUM-22</x:v>
      </x:c>
      <x:c r="C16" s="10" t="str">
        <x:v>Entrega y presentación Fase 1</x:v>
      </x:c>
      <x:c r="D16" s="10" t="str">
        <x:v>Sprint 1 - Histórico</x:v>
      </x:c>
      <x:c r="E16" s="10" t="str">
        <x:v>En revisión</x:v>
      </x:c>
      <x:c r="F16" s="14" t="n">
        <x:v>5</x:v>
      </x:c>
      <x:c r="G16" s="10" t="str">
        <x:v>Sprint 1</x:v>
      </x:c>
      <x:c r="H16" s="10" t="str">
        <x:v>Documentado</x:v>
      </x:c>
      <x:c r="I16" s="10" t="str">
        <x:v>Expediente de Fase 1 disponible</x:v>
      </x:c>
      <x:c r="J16" s="10" t="str">
        <x:v>Confirmar entrega, observaciones y recepción académica</x:v>
      </x:c>
      <x:c r="K16" s="11" t="str">
        <x:v>Equipo</x:v>
      </x:c>
      <x:c r="L16" s="11" t="str">
        <x:v>Revisión cruzada</x:v>
      </x:c>
      <x:c r="M16" s="12" t="d">
        <x:v>2026-08-24T00:00:00.000Z</x:v>
      </x:c>
      <x:c r="N16" s="12" t="d">
        <x:v>2026-09-05T00:00:00.000Z</x:v>
      </x:c>
      <x:c r="O16" s="13" t="d">
        <x:v>2026-10-15T00:00:00.000Z</x:v>
      </x:c>
      <x:c r="P16" s="13" t="d">
        <x:v>2026-10-17T00:00:00.000Z</x:v>
      </x:c>
      <x:c r="Q16" s="10" t="n">
        <x:f>IF(OR(O16="",P16=""),"",P16-O16+1)</x:f>
        <x:v>3</x:v>
      </x:c>
      <x:c r="R16" s="10" t="str">
        <x:v>Comprobante de Campus</x:v>
      </x:c>
      <x:c r="S16" s="10" t="str">
        <x:v>Obligatorio</x:v>
      </x:c>
      <x:c r="T16" s="10" t="str">
        <x:v>Documentos Fase 1. https://sigaa-duoc-2026.atlassian.net/browse/SCRUM-22</x:v>
      </x:c>
    </x:row>
    <x:row r="17" ht="60" customHeight="1">
      <x:c r="A17" s="10" t="str">
        <x:v>PB-035</x:v>
      </x:c>
      <x:c r="B17" s="10" t="str">
        <x:v>SCRUM-47</x:v>
      </x:c>
      <x:c r="C17" s="10" t="str">
        <x:v>Corregir dominio universitario a escolar</x:v>
      </x:c>
      <x:c r="D17" s="10" t="str">
        <x:v>Sprint 1 - Histórico</x:v>
      </x:c>
      <x:c r="E17" s="10" t="str">
        <x:v>Terminada</x:v>
      </x:c>
      <x:c r="F17" s="14" t="n">
        <x:v>8</x:v>
      </x:c>
      <x:c r="G17" s="10" t="str">
        <x:v>Sprint 1</x:v>
      </x:c>
      <x:c r="H17" s="10" t="str">
        <x:v>Implementado</x:v>
      </x:c>
      <x:c r="I17" s="10" t="str">
        <x:v>Dominio corregido a colegios y liceos</x:v>
      </x:c>
      <x:c r="J17" s="10" t="str">
        <x:v>Mantener lenguaje escolar coherente</x:v>
      </x:c>
      <x:c r="K17" s="11" t="str">
        <x:v>Equipo</x:v>
      </x:c>
      <x:c r="L17" s="11" t="str">
        <x:v>Revisión cruzada</x:v>
      </x:c>
      <x:c r="M17" s="12" t="d">
        <x:v>2026-08-24T00:00:00.000Z</x:v>
      </x:c>
      <x:c r="N17" s="12" t="d">
        <x:v>2026-09-05T00:00:00.000Z</x:v>
      </x:c>
      <x:c r="O17" s="13"/>
      <x:c r="P17" s="13"/>
      <x:c r="Q17" s="10" t="str">
        <x:f>IF(OR(O17="",P17=""),"",P17-O17+1)</x:f>
      </x:c>
      <x:c r="R17" s="10" t="str"/>
      <x:c r="S17" s="10" t="str">
        <x:v>Obligatorio</x:v>
      </x:c>
      <x:c r="T17" s="10" t="str">
        <x:v>Jira Terminada; dominio escolar. https://sigaa-duoc-2026.atlassian.net/browse/SCRUM-47</x:v>
      </x:c>
    </x:row>
    <x:row r="18" ht="60" customHeight="1">
      <x:c r="A18" s="10" t="str">
        <x:v>PB-038</x:v>
      </x:c>
      <x:c r="B18" s="10" t="str">
        <x:v>SCRUM-50</x:v>
      </x:c>
      <x:c r="C18" s="10" t="str">
        <x:v>Modelo docente</x:v>
      </x:c>
      <x:c r="D18" s="10" t="str">
        <x:v>Sprint 1 - Histórico</x:v>
      </x:c>
      <x:c r="E18" s="10" t="str">
        <x:v>En revisión</x:v>
      </x:c>
      <x:c r="F18" s="14" t="n">
        <x:v>13</x:v>
      </x:c>
      <x:c r="G18" s="10" t="str">
        <x:v>Sprint 1</x:v>
      </x:c>
      <x:c r="H18" s="10" t="str">
        <x:v>Implementado</x:v>
      </x:c>
      <x:c r="I18" s="10" t="str">
        <x:v>Docente con asistencia, notas y anotaciones</x:v>
      </x:c>
      <x:c r="J18" s="10" t="str">
        <x:v>Contrastar todos los criterios del modelo y aceptar</x:v>
      </x:c>
      <x:c r="K18" s="11" t="str">
        <x:v>Joel</x:v>
      </x:c>
      <x:c r="L18" s="11" t="str">
        <x:v>Matías</x:v>
      </x:c>
      <x:c r="M18" s="12" t="d">
        <x:v>2026-08-24T00:00:00.000Z</x:v>
      </x:c>
      <x:c r="N18" s="12" t="d">
        <x:v>2026-09-05T00:00:00.000Z</x:v>
      </x:c>
      <x:c r="O18" s="13" t="d">
        <x:v>2026-10-15T00:00:00.000Z</x:v>
      </x:c>
      <x:c r="P18" s="13" t="d">
        <x:v>2026-10-17T00:00:00.000Z</x:v>
      </x:c>
      <x:c r="Q18" s="10" t="n">
        <x:f>IF(OR(O18="",P18=""),"",P18-O18+1)</x:f>
        <x:v>3</x:v>
      </x:c>
      <x:c r="R18" s="10" t="str">
        <x:v>PB-012, PB-017 y PB-019</x:v>
      </x:c>
      <x:c r="S18" s="10" t="str">
        <x:v>Obligatorio</x:v>
      </x:c>
      <x:c r="T18" s="10" t="str">
        <x:v>899aab6; flujos docentes. https://sigaa-duoc-2026.atlassian.net/browse/SCRUM-50</x:v>
      </x:c>
    </x:row>
    <x:row r="19" ht="60" customHeight="1">
      <x:c r="A19" s="10" t="str">
        <x:v>PB-039</x:v>
      </x:c>
      <x:c r="B19" s="10" t="str">
        <x:v>SCRUM-51</x:v>
      </x:c>
      <x:c r="C19" s="10" t="str">
        <x:v>Modelo estudiante</x:v>
      </x:c>
      <x:c r="D19" s="10" t="str">
        <x:v>Sprint 1 - Histórico</x:v>
      </x:c>
      <x:c r="E19" s="10" t="str">
        <x:v>En curso</x:v>
      </x:c>
      <x:c r="F19" s="14" t="n">
        <x:v>13</x:v>
      </x:c>
      <x:c r="G19" s="10" t="str">
        <x:v>Sprint 1</x:v>
      </x:c>
      <x:c r="H19" s="10" t="str">
        <x:v>Parcial</x:v>
      </x:c>
      <x:c r="I19" s="10" t="str">
        <x:v>Estudiante consulta registros propios publicados</x:v>
      </x:c>
      <x:c r="J19" s="10" t="str">
        <x:v>Contrastar alcance completo, corregir faltantes y revisar</x:v>
      </x:c>
      <x:c r="K19" s="11" t="str">
        <x:v>Agustín</x:v>
      </x:c>
      <x:c r="L19" s="11" t="str">
        <x:v>Joel</x:v>
      </x:c>
      <x:c r="M19" s="12" t="d">
        <x:v>2026-08-24T00:00:00.000Z</x:v>
      </x:c>
      <x:c r="N19" s="12" t="d">
        <x:v>2026-09-05T00:00:00.000Z</x:v>
      </x:c>
      <x:c r="O19" s="13" t="d">
        <x:v>2026-10-19T00:00:00.000Z</x:v>
      </x:c>
      <x:c r="P19" s="13" t="d">
        <x:v>2026-10-24T00:00:00.000Z</x:v>
      </x:c>
      <x:c r="Q19" s="10" t="n">
        <x:f>IF(OR(O19="",P19=""),"",P19-O19+1)</x:f>
        <x:v>6</x:v>
      </x:c>
      <x:c r="R19" s="10" t="str">
        <x:v>PB-012 y criterios PB-039</x:v>
      </x:c>
      <x:c r="S19" s="10" t="str">
        <x:v>Obligatorio</x:v>
      </x:c>
      <x:c r="T19" s="10" t="str">
        <x:v>899aab6; Jira En curso. https://sigaa-duoc-2026.atlassian.net/browse/SCRUM-51</x:v>
      </x:c>
    </x:row>
    <x:row r="20" ht="60" customHeight="1">
      <x:c r="A20" s="10" t="str">
        <x:v>PB-040</x:v>
      </x:c>
      <x:c r="B20" s="10" t="str">
        <x:v>SCRUM-52</x:v>
      </x:c>
      <x:c r="C20" s="10" t="str">
        <x:v>Docker de equipo y aislamiento de servidor</x:v>
      </x:c>
      <x:c r="D20" s="10" t="str">
        <x:v>Sprint 1 - Histórico</x:v>
      </x:c>
      <x:c r="E20" s="10" t="str">
        <x:v>En curso</x:v>
      </x:c>
      <x:c r="F20" s="14" t="n">
        <x:v>8</x:v>
      </x:c>
      <x:c r="G20" s="10" t="str">
        <x:v>Sprint 1</x:v>
      </x:c>
      <x:c r="H20" s="10" t="str">
        <x:v>Parcial</x:v>
      </x:c>
      <x:c r="I20" s="10" t="str">
        <x:v>Docker y base aislada, manual disponible</x:v>
      </x:c>
      <x:c r="J20" s="10" t="str">
        <x:v>Completar prueba de equipo y alcance de aislamiento</x:v>
      </x:c>
      <x:c r="K20" s="11" t="str">
        <x:v>Matías</x:v>
      </x:c>
      <x:c r="L20" s="11" t="str">
        <x:v>Agustín</x:v>
      </x:c>
      <x:c r="M20" s="12" t="d">
        <x:v>2026-08-24T00:00:00.000Z</x:v>
      </x:c>
      <x:c r="N20" s="12" t="d">
        <x:v>2026-09-05T00:00:00.000Z</x:v>
      </x:c>
      <x:c r="O20" s="13" t="d">
        <x:v>2026-10-19T00:00:00.000Z</x:v>
      </x:c>
      <x:c r="P20" s="13" t="d">
        <x:v>2026-10-24T00:00:00.000Z</x:v>
      </x:c>
      <x:c r="Q20" s="10" t="n">
        <x:f>IF(OR(O20="",P20=""),"",P20-O20+1)</x:f>
        <x:v>6</x:v>
      </x:c>
      <x:c r="R20" s="10" t="str">
        <x:v>PB-014 y manual de equipo</x:v>
      </x:c>
      <x:c r="S20" s="10" t="str">
        <x:v>Obligatorio</x:v>
      </x:c>
      <x:c r="T20" s="10" t="str">
        <x:v>Compose; despliegue; Jira En curso. https://sigaa-duoc-2026.atlassian.net/browse/SCRUM-52</x:v>
      </x:c>
    </x:row>
    <x:row r="21" ht="60" customHeight="1">
      <x:c r="A21" s="10" t="str">
        <x:v>PB-013</x:v>
      </x:c>
      <x:c r="B21" s="10" t="str">
        <x:v>SCRUM-25</x:v>
      </x:c>
      <x:c r="C21" s="10" t="str">
        <x:v>Estructura escolar</x:v>
      </x:c>
      <x:c r="D21" s="10" t="str">
        <x:v>Sprint 2 - Histórico</x:v>
      </x:c>
      <x:c r="E21" s="10" t="str">
        <x:v>En revisión</x:v>
      </x:c>
      <x:c r="F21" s="14" t="n">
        <x:v>8</x:v>
      </x:c>
      <x:c r="G21" s="10" t="str">
        <x:v>Sprint 2</x:v>
      </x:c>
      <x:c r="H21" s="10" t="str">
        <x:v>Implementado</x:v>
      </x:c>
      <x:c r="I21" s="10" t="str">
        <x:v>Estructura escolar editable y persistente</x:v>
      </x:c>
      <x:c r="J21" s="10" t="str">
        <x:v>Validar relaciones, restricciones y aceptar</x:v>
      </x:c>
      <x:c r="K21" s="11" t="str">
        <x:v>Matías</x:v>
      </x:c>
      <x:c r="L21" s="11" t="str">
        <x:v>Agustín</x:v>
      </x:c>
      <x:c r="M21" s="12" t="d">
        <x:v>2026-09-07T00:00:00.000Z</x:v>
      </x:c>
      <x:c r="N21" s="12" t="d">
        <x:v>2026-09-19T00:00:00.000Z</x:v>
      </x:c>
      <x:c r="O21" s="13" t="d">
        <x:v>2026-10-15T00:00:00.000Z</x:v>
      </x:c>
      <x:c r="P21" s="13" t="d">
        <x:v>2026-10-17T00:00:00.000Z</x:v>
      </x:c>
      <x:c r="Q21" s="10" t="n">
        <x:f>IF(OR(O21="",P21=""),"",P21-O21+1)</x:f>
        <x:v>3</x:v>
      </x:c>
      <x:c r="R21" s="10" t="str">
        <x:v>PB-012</x:v>
      </x:c>
      <x:c r="S21" s="10" t="str">
        <x:v>Obligatorio</x:v>
      </x:c>
      <x:c r="T21" s="10" t="str">
        <x:v>a9b6f65; API 0.8.0. https://sigaa-duoc-2026.atlassian.net/browse/SCRUM-25</x:v>
      </x:c>
    </x:row>
    <x:row r="22" ht="60" customHeight="1">
      <x:c r="A22" s="10" t="str">
        <x:v>PB-014</x:v>
      </x:c>
      <x:c r="B22" s="10" t="str">
        <x:v>SCRUM-26</x:v>
      </x:c>
      <x:c r="C22" s="10" t="str">
        <x:v>Entorno Docker reproducible</x:v>
      </x:c>
      <x:c r="D22" s="10" t="str">
        <x:v>Sprint 2 - Histórico</x:v>
      </x:c>
      <x:c r="E22" s="10" t="str">
        <x:v>En revisión</x:v>
      </x:c>
      <x:c r="F22" s="14" t="n">
        <x:v>5</x:v>
      </x:c>
      <x:c r="G22" s="10" t="str">
        <x:v>Sprint 2</x:v>
      </x:c>
      <x:c r="H22" s="10" t="str">
        <x:v>Implementado</x:v>
      </x:c>
      <x:c r="I22" s="10" t="str">
        <x:v>Compose nuevo con tres servicios saludables</x:v>
      </x:c>
      <x:c r="J22" s="10" t="str">
        <x:v>Revisar instalación documentada y aceptar</x:v>
      </x:c>
      <x:c r="K22" s="11" t="str">
        <x:v>Equipo</x:v>
      </x:c>
      <x:c r="L22" s="11" t="str">
        <x:v>Revisión cruzada</x:v>
      </x:c>
      <x:c r="M22" s="12" t="d">
        <x:v>2026-09-07T00:00:00.000Z</x:v>
      </x:c>
      <x:c r="N22" s="12" t="d">
        <x:v>2026-09-19T00:00:00.000Z</x:v>
      </x:c>
      <x:c r="O22" s="13" t="d">
        <x:v>2026-10-15T00:00:00.000Z</x:v>
      </x:c>
      <x:c r="P22" s="13" t="d">
        <x:v>2026-10-17T00:00:00.000Z</x:v>
      </x:c>
      <x:c r="Q22" s="10" t="n">
        <x:f>IF(OR(O22="",P22=""),"",P22-O22+1)</x:f>
        <x:v>3</x:v>
      </x:c>
      <x:c r="R22" s="10" t="str">
        <x:v>Docker disponible</x:v>
      </x:c>
      <x:c r="S22" s="10" t="str">
        <x:v>Obligatorio</x:v>
      </x:c>
      <x:c r="T22" s="10" t="str">
        <x:v>a9b6f65; operations-docker-tests. https://sigaa-duoc-2026.atlassian.net/browse/SCRUM-26</x:v>
      </x:c>
    </x:row>
    <x:row r="23" ht="60" customHeight="1">
      <x:c r="A23" s="10" t="str">
        <x:v>PB-011</x:v>
      </x:c>
      <x:c r="B23" s="10" t="str">
        <x:v>SCRUM-23</x:v>
      </x:c>
      <x:c r="C23" s="10" t="str">
        <x:v>Autenticación segura</x:v>
      </x:c>
      <x:c r="D23" s="10" t="str">
        <x:v>Sprint 3 - Actual</x:v>
      </x:c>
      <x:c r="E23" s="10" t="str">
        <x:v>En revisión</x:v>
      </x:c>
      <x:c r="F23" s="14" t="n">
        <x:v>8</x:v>
      </x:c>
      <x:c r="G23" s="10" t="str">
        <x:v>Sprint 3</x:v>
      </x:c>
      <x:c r="H23" s="10" t="str">
        <x:v>Implementado</x:v>
      </x:c>
      <x:c r="I23" s="10" t="str">
        <x:v>Login, hash, sesiones y control de intentos</x:v>
      </x:c>
      <x:c r="J23" s="10" t="str">
        <x:v>Probar criterios y registrar aceptación del PO</x:v>
      </x:c>
      <x:c r="K23" s="11" t="str">
        <x:v>Joel</x:v>
      </x:c>
      <x:c r="L23" s="11" t="str">
        <x:v>Matías</x:v>
      </x:c>
      <x:c r="M23" s="12" t="d">
        <x:v>2026-09-24T00:00:00.000Z</x:v>
      </x:c>
      <x:c r="N23" s="12" t="d">
        <x:v>2026-10-08T00:00:00.000Z</x:v>
      </x:c>
      <x:c r="O23" s="13" t="d">
        <x:v>2026-10-15T00:00:00.000Z</x:v>
      </x:c>
      <x:c r="P23" s="13" t="d">
        <x:v>2026-10-17T00:00:00.000Z</x:v>
      </x:c>
      <x:c r="Q23" s="10" t="n">
        <x:f>IF(OR(O23="",P23=""),"",P23-O23+1)</x:f>
        <x:v>3</x:v>
      </x:c>
      <x:c r="R23" s="10" t="str">
        <x:v>Cuenta de prueba autorizada</x:v>
      </x:c>
      <x:c r="S23" s="10" t="str">
        <x:v>Obligatorio</x:v>
      </x:c>
      <x:c r="T23" s="10" t="str">
        <x:v>62fbcba; pruebas API. https://sigaa-duoc-2026.atlassian.net/browse/SCRUM-23</x:v>
      </x:c>
    </x:row>
    <x:row r="24" ht="60" customHeight="1">
      <x:c r="A24" s="10" t="str">
        <x:v>PB-012</x:v>
      </x:c>
      <x:c r="B24" s="10" t="str">
        <x:v>SCRUM-24</x:v>
      </x:c>
      <x:c r="C24" s="10" t="str">
        <x:v>Roles y permisos</x:v>
      </x:c>
      <x:c r="D24" s="10" t="str">
        <x:v>Sprint 3 - Actual</x:v>
      </x:c>
      <x:c r="E24" s="10" t="str">
        <x:v>En revisión</x:v>
      </x:c>
      <x:c r="F24" s="14" t="n">
        <x:v>8</x:v>
      </x:c>
      <x:c r="G24" s="10" t="str">
        <x:v>Sprint 3</x:v>
      </x:c>
      <x:c r="H24" s="10" t="str">
        <x:v>Implementado</x:v>
      </x:c>
      <x:c r="I24" s="10" t="str">
        <x:v>Permisos por rol y alcance en API</x:v>
      </x:c>
      <x:c r="J24" s="10" t="str">
        <x:v>Revisar casos denegados y aceptar</x:v>
      </x:c>
      <x:c r="K24" s="11" t="str">
        <x:v>Agustín</x:v>
      </x:c>
      <x:c r="L24" s="11" t="str">
        <x:v>Joel</x:v>
      </x:c>
      <x:c r="M24" s="12" t="d">
        <x:v>2026-09-24T00:00:00.000Z</x:v>
      </x:c>
      <x:c r="N24" s="12" t="d">
        <x:v>2026-10-08T00:00:00.000Z</x:v>
      </x:c>
      <x:c r="O24" s="13" t="d">
        <x:v>2026-10-15T00:00:00.000Z</x:v>
      </x:c>
      <x:c r="P24" s="13" t="d">
        <x:v>2026-10-17T00:00:00.000Z</x:v>
      </x:c>
      <x:c r="Q24" s="10" t="n">
        <x:f>IF(OR(O24="",P24=""),"",P24-O24+1)</x:f>
        <x:v>3</x:v>
      </x:c>
      <x:c r="R24" s="10" t="str">
        <x:v>PB-011</x:v>
      </x:c>
      <x:c r="S24" s="10" t="str">
        <x:v>Obligatorio</x:v>
      </x:c>
      <x:c r="T24" s="10" t="str">
        <x:v>62fbcba; pruebas de permisos. https://sigaa-duoc-2026.atlassian.net/browse/SCRUM-24</x:v>
      </x:c>
    </x:row>
    <x:row r="25" ht="60" customHeight="1">
      <x:c r="A25" s="10" t="str">
        <x:v>PB-015</x:v>
      </x:c>
      <x:c r="B25" s="10" t="str">
        <x:v>SCRUM-27</x:v>
      </x:c>
      <x:c r="C25" s="10" t="str">
        <x:v>Gestión de estudiantes</x:v>
      </x:c>
      <x:c r="D25" s="10" t="str">
        <x:v>Sprint 3 - Actual</x:v>
      </x:c>
      <x:c r="E25" s="10" t="str">
        <x:v>En revisión</x:v>
      </x:c>
      <x:c r="F25" s="14" t="n">
        <x:v>8</x:v>
      </x:c>
      <x:c r="G25" s="10" t="str">
        <x:v>Sprint 3</x:v>
      </x:c>
      <x:c r="H25" s="10" t="str">
        <x:v>Implementado</x:v>
      </x:c>
      <x:c r="I25" s="10" t="str">
        <x:v>Estudiantes persistentes y validaciones</x:v>
      </x:c>
      <x:c r="J25" s="10" t="str">
        <x:v>Revisar duplicados, alcance y aceptación</x:v>
      </x:c>
      <x:c r="K25" s="11" t="str">
        <x:v>Matías</x:v>
      </x:c>
      <x:c r="L25" s="11" t="str">
        <x:v>Agustín</x:v>
      </x:c>
      <x:c r="M25" s="12" t="d">
        <x:v>2026-09-24T00:00:00.000Z</x:v>
      </x:c>
      <x:c r="N25" s="12" t="d">
        <x:v>2026-10-08T00:00:00.000Z</x:v>
      </x:c>
      <x:c r="O25" s="13" t="d">
        <x:v>2026-10-15T00:00:00.000Z</x:v>
      </x:c>
      <x:c r="P25" s="13" t="d">
        <x:v>2026-10-17T00:00:00.000Z</x:v>
      </x:c>
      <x:c r="Q25" s="10" t="n">
        <x:f>IF(OR(O25="",P25=""),"",P25-O25+1)</x:f>
        <x:v>3</x:v>
      </x:c>
      <x:c r="R25" s="10" t="str">
        <x:v>PB-011 y PB-012</x:v>
      </x:c>
      <x:c r="S25" s="10" t="str">
        <x:v>Obligatorio</x:v>
      </x:c>
      <x:c r="T25" s="10" t="str">
        <x:v>62fbcba; pruebas de persistencia. https://sigaa-duoc-2026.atlassian.net/browse/SCRUM-27</x:v>
      </x:c>
    </x:row>
    <x:row r="26" ht="60" customHeight="1">
      <x:c r="A26" s="10" t="str">
        <x:v>PB-016</x:v>
      </x:c>
      <x:c r="B26" s="10" t="str">
        <x:v>SCRUM-28</x:v>
      </x:c>
      <x:c r="C26" s="10" t="str">
        <x:v>Matrículas</x:v>
      </x:c>
      <x:c r="D26" s="10" t="str">
        <x:v>Sprint 3 - Actual</x:v>
      </x:c>
      <x:c r="E26" s="10" t="str">
        <x:v>En revisión</x:v>
      </x:c>
      <x:c r="F26" s="14" t="n">
        <x:v>5</x:v>
      </x:c>
      <x:c r="G26" s="10" t="str">
        <x:v>Sprint 3</x:v>
      </x:c>
      <x:c r="H26" s="10" t="str">
        <x:v>Implementado</x:v>
      </x:c>
      <x:c r="I26" s="10" t="str">
        <x:v>Matrícula con periodo y capacidad</x:v>
      </x:c>
      <x:c r="J26" s="10" t="str">
        <x:v>Revisar errores, concurrencia y aceptar</x:v>
      </x:c>
      <x:c r="K26" s="11" t="str">
        <x:v>Equipo</x:v>
      </x:c>
      <x:c r="L26" s="11" t="str">
        <x:v>Revisión cruzada</x:v>
      </x:c>
      <x:c r="M26" s="12" t="d">
        <x:v>2026-09-24T00:00:00.000Z</x:v>
      </x:c>
      <x:c r="N26" s="12" t="d">
        <x:v>2026-10-08T00:00:00.000Z</x:v>
      </x:c>
      <x:c r="O26" s="13" t="d">
        <x:v>2026-10-15T00:00:00.000Z</x:v>
      </x:c>
      <x:c r="P26" s="13" t="d">
        <x:v>2026-10-17T00:00:00.000Z</x:v>
      </x:c>
      <x:c r="Q26" s="10" t="n">
        <x:f>IF(OR(O26="",P26=""),"",P26-O26+1)</x:f>
        <x:v>3</x:v>
      </x:c>
      <x:c r="R26" s="10" t="str">
        <x:v>PB-013 y PB-015</x:v>
      </x:c>
      <x:c r="S26" s="10" t="str">
        <x:v>Obligatorio</x:v>
      </x:c>
      <x:c r="T26" s="10" t="str">
        <x:v>62fbcba; pruebas de matrícula. https://sigaa-duoc-2026.atlassian.net/browse/SCRUM-28</x:v>
      </x:c>
    </x:row>
    <x:row r="27" ht="60" customHeight="1">
      <x:c r="A27" s="10" t="str">
        <x:v>PB-019</x:v>
      </x:c>
      <x:c r="B27" s="10" t="str">
        <x:v>SCRUM-31</x:v>
      </x:c>
      <x:c r="C27" s="10" t="str">
        <x:v>Registro de asistencia</x:v>
      </x:c>
      <x:c r="D27" s="10" t="str">
        <x:v>Sprint 4 - Asistencia/Alertas</x:v>
      </x:c>
      <x:c r="E27" s="10" t="str">
        <x:v>En revisión</x:v>
      </x:c>
      <x:c r="F27" s="14" t="n">
        <x:v>8</x:v>
      </x:c>
      <x:c r="G27" s="10" t="str">
        <x:v>Sprint 4</x:v>
      </x:c>
      <x:c r="H27" s="10" t="str">
        <x:v>Implementado</x:v>
      </x:c>
      <x:c r="I27" s="10" t="str">
        <x:v>Asistencia por clase conectada a PostgreSQL</x:v>
      </x:c>
      <x:c r="J27" s="10" t="str">
        <x:v>Revisar estados, restricciones y aceptar</x:v>
      </x:c>
      <x:c r="K27" s="11" t="str">
        <x:v>Matías</x:v>
      </x:c>
      <x:c r="L27" s="11" t="str">
        <x:v>Agustín</x:v>
      </x:c>
      <x:c r="M27" s="12" t="d">
        <x:v>2026-10-05T00:00:00.000Z</x:v>
      </x:c>
      <x:c r="N27" s="12" t="d">
        <x:v>2026-10-17T00:00:00.000Z</x:v>
      </x:c>
      <x:c r="O27" s="13" t="d">
        <x:v>2026-10-15T00:00:00.000Z</x:v>
      </x:c>
      <x:c r="P27" s="13" t="d">
        <x:v>2026-10-17T00:00:00.000Z</x:v>
      </x:c>
      <x:c r="Q27" s="10" t="n">
        <x:f>IF(OR(O27="",P27=""),"",P27-O27+1)</x:f>
        <x:v>3</x:v>
      </x:c>
      <x:c r="R27" s="10" t="str">
        <x:v>PB-012 y PB-016</x:v>
      </x:c>
      <x:c r="S27" s="10" t="str">
        <x:v>Obligatorio</x:v>
      </x:c>
      <x:c r="T27" s="10" t="str">
        <x:v>899aab6; a9b6f65. https://sigaa-duoc-2026.atlassian.net/browse/SCRUM-31</x:v>
      </x:c>
    </x:row>
    <x:row r="28" ht="60" customHeight="1">
      <x:c r="A28" s="10" t="str">
        <x:v>PB-020</x:v>
      </x:c>
      <x:c r="B28" s="10" t="str">
        <x:v>SCRUM-32</x:v>
      </x:c>
      <x:c r="C28" s="10" t="str">
        <x:v>Tres reglas explicables de alerta</x:v>
      </x:c>
      <x:c r="D28" s="10" t="str">
        <x:v>Sprint 4 - Asistencia/Alertas</x:v>
      </x:c>
      <x:c r="E28" s="10" t="str">
        <x:v>En revisión</x:v>
      </x:c>
      <x:c r="F28" s="14" t="n">
        <x:v>8</x:v>
      </x:c>
      <x:c r="G28" s="10" t="str">
        <x:v>Sprint 4</x:v>
      </x:c>
      <x:c r="H28" s="10" t="str">
        <x:v>Implementado</x:v>
      </x:c>
      <x:c r="I28" s="10" t="str">
        <x:v>Tres reglas versionadas sin duplicados</x:v>
      </x:c>
      <x:c r="J28" s="10" t="str">
        <x:v>Validar umbrales con contraparte y aceptar</x:v>
      </x:c>
      <x:c r="K28" s="11" t="str">
        <x:v>Joel</x:v>
      </x:c>
      <x:c r="L28" s="11" t="str">
        <x:v>Matías</x:v>
      </x:c>
      <x:c r="M28" s="12" t="d">
        <x:v>2026-10-05T00:00:00.000Z</x:v>
      </x:c>
      <x:c r="N28" s="12" t="d">
        <x:v>2026-10-17T00:00:00.000Z</x:v>
      </x:c>
      <x:c r="O28" s="13" t="d">
        <x:v>2026-10-19T00:00:00.000Z</x:v>
      </x:c>
      <x:c r="P28" s="13" t="d">
        <x:v>2026-10-24T00:00:00.000Z</x:v>
      </x:c>
      <x:c r="Q28" s="10" t="n">
        <x:f>IF(OR(O28="",P28=""),"",P28-O28+1)</x:f>
        <x:v>6</x:v>
      </x:c>
      <x:c r="R28" s="10" t="str">
        <x:v>PB-001 y PB-019</x:v>
      </x:c>
      <x:c r="S28" s="10" t="str">
        <x:v>Obligatorio</x:v>
      </x:c>
      <x:c r="T28" s="10" t="str">
        <x:v>a9b6f65; risk-engine. https://sigaa-duoc-2026.atlassian.net/browse/SCRUM-32</x:v>
      </x:c>
    </x:row>
    <x:row r="29" ht="60" customHeight="1">
      <x:c r="A29" s="10" t="str">
        <x:v>PB-021</x:v>
      </x:c>
      <x:c r="B29" s="10" t="str">
        <x:v>SCRUM-33</x:v>
      </x:c>
      <x:c r="C29" s="10" t="str">
        <x:v>Bandeja y dashboard inicial de alertas</x:v>
      </x:c>
      <x:c r="D29" s="10" t="str">
        <x:v>Sprint 4 - Asistencia/Alertas</x:v>
      </x:c>
      <x:c r="E29" s="10" t="str">
        <x:v>En revisión</x:v>
      </x:c>
      <x:c r="F29" s="14" t="n">
        <x:v>8</x:v>
      </x:c>
      <x:c r="G29" s="10" t="str">
        <x:v>Sprint 4</x:v>
      </x:c>
      <x:c r="H29" s="10" t="str">
        <x:v>Implementado</x:v>
      </x:c>
      <x:c r="I29" s="10" t="str">
        <x:v>Bandeja, filtros, responsable e historial</x:v>
      </x:c>
      <x:c r="J29" s="10" t="str">
        <x:v>Validar flujo de gestión y aceptar</x:v>
      </x:c>
      <x:c r="K29" s="11" t="str">
        <x:v>Agustín</x:v>
      </x:c>
      <x:c r="L29" s="11" t="str">
        <x:v>Joel</x:v>
      </x:c>
      <x:c r="M29" s="12" t="d">
        <x:v>2026-10-05T00:00:00.000Z</x:v>
      </x:c>
      <x:c r="N29" s="12" t="d">
        <x:v>2026-10-17T00:00:00.000Z</x:v>
      </x:c>
      <x:c r="O29" s="13" t="d">
        <x:v>2026-10-15T00:00:00.000Z</x:v>
      </x:c>
      <x:c r="P29" s="13" t="d">
        <x:v>2026-10-17T00:00:00.000Z</x:v>
      </x:c>
      <x:c r="Q29" s="10" t="n">
        <x:f>IF(OR(O29="",P29=""),"",P29-O29+1)</x:f>
        <x:v>3</x:v>
      </x:c>
      <x:c r="R29" s="10" t="str">
        <x:v>PB-020</x:v>
      </x:c>
      <x:c r="S29" s="10" t="str">
        <x:v>Obligatorio</x:v>
      </x:c>
      <x:c r="T29" s="10" t="str">
        <x:v>a9b6f65; support-routes. https://sigaa-duoc-2026.atlassian.net/browse/SCRUM-33</x:v>
      </x:c>
    </x:row>
    <x:row r="30" ht="60" customHeight="1">
      <x:c r="A30" s="10" t="str">
        <x:v>PB-022</x:v>
      </x:c>
      <x:c r="B30" s="10" t="str">
        <x:v>SCRUM-34</x:v>
      </x:c>
      <x:c r="C30" s="10" t="str">
        <x:v>Entrega de avance Fase 2</x:v>
      </x:c>
      <x:c r="D30" s="10" t="str">
        <x:v>Sprint 4 - Asistencia/Alertas</x:v>
      </x:c>
      <x:c r="E30" s="10" t="str">
        <x:v>En revisión</x:v>
      </x:c>
      <x:c r="F30" s="14" t="n">
        <x:v>5</x:v>
      </x:c>
      <x:c r="G30" s="10" t="str">
        <x:v>Sprint 4</x:v>
      </x:c>
      <x:c r="H30" s="10" t="str">
        <x:v>Documentado</x:v>
      </x:c>
      <x:c r="I30" s="10" t="str">
        <x:v>Informe de avance Fase 2 preparado</x:v>
      </x:c>
      <x:c r="J30" s="10" t="str">
        <x:v>Revisar pauta, entregar en Campus y conservar comprobante</x:v>
      </x:c>
      <x:c r="K30" s="11" t="str">
        <x:v>Equipo</x:v>
      </x:c>
      <x:c r="L30" s="11" t="str">
        <x:v>Revisión cruzada</x:v>
      </x:c>
      <x:c r="M30" s="12" t="d">
        <x:v>2026-10-05T00:00:00.000Z</x:v>
      </x:c>
      <x:c r="N30" s="12" t="d">
        <x:v>2026-10-17T00:00:00.000Z</x:v>
      </x:c>
      <x:c r="O30" s="13" t="d">
        <x:v>2026-10-15T00:00:00.000Z</x:v>
      </x:c>
      <x:c r="P30" s="13" t="d">
        <x:v>2026-10-17T00:00:00.000Z</x:v>
      </x:c>
      <x:c r="Q30" s="10" t="n">
        <x:f>IF(OR(O30="",P30=""),"",P30-O30+1)</x:f>
        <x:v>3</x:v>
      </x:c>
      <x:c r="R30" s="10" t="str">
        <x:v>Evidencia S2-S4 y pauta vigente</x:v>
      </x:c>
      <x:c r="S30" s="10" t="str">
        <x:v>Obligatorio</x:v>
      </x:c>
      <x:c r="T30" s="10" t="str">
        <x:v>Informe de Avance Fase 2. https://sigaa-duoc-2026.atlassian.net/browse/SCRUM-34</x:v>
      </x:c>
    </x:row>
    <x:row r="31" ht="60" customHeight="1">
      <x:c r="A31" s="10" t="str">
        <x:v>PB-037</x:v>
      </x:c>
      <x:c r="B31" s="10" t="str">
        <x:v>SCRUM-49</x:v>
      </x:c>
      <x:c r="C31" s="10" t="str">
        <x:v>Justificaciones por Inspectoría</x:v>
      </x:c>
      <x:c r="D31" s="10" t="str">
        <x:v>Sprint 4 - Asistencia/Alertas</x:v>
      </x:c>
      <x:c r="E31" s="10" t="str">
        <x:v>En revisión</x:v>
      </x:c>
      <x:c r="F31" s="14" t="n">
        <x:v>5</x:v>
      </x:c>
      <x:c r="G31" s="10" t="str">
        <x:v>Sprint 4</x:v>
      </x:c>
      <x:c r="H31" s="10" t="str">
        <x:v>Implementado</x:v>
      </x:c>
      <x:c r="I31" s="10" t="str">
        <x:v>Justificación y revisión transaccional</x:v>
      </x:c>
      <x:c r="J31" s="10" t="str">
        <x:v>Revisar privacidad, concurrencia y aceptar</x:v>
      </x:c>
      <x:c r="K31" s="11" t="str">
        <x:v>Agustín</x:v>
      </x:c>
      <x:c r="L31" s="11" t="str">
        <x:v>Joel</x:v>
      </x:c>
      <x:c r="M31" s="12" t="d">
        <x:v>2026-10-05T00:00:00.000Z</x:v>
      </x:c>
      <x:c r="N31" s="12" t="d">
        <x:v>2026-10-17T00:00:00.000Z</x:v>
      </x:c>
      <x:c r="O31" s="13" t="d">
        <x:v>2026-10-15T00:00:00.000Z</x:v>
      </x:c>
      <x:c r="P31" s="13" t="d">
        <x:v>2026-10-17T00:00:00.000Z</x:v>
      </x:c>
      <x:c r="Q31" s="10" t="n">
        <x:f>IF(OR(O31="",P31=""),"",P31-O31+1)</x:f>
        <x:v>3</x:v>
      </x:c>
      <x:c r="R31" s="10" t="str">
        <x:v>PB-019 y rol Inspectoría</x:v>
      </x:c>
      <x:c r="S31" s="10" t="str">
        <x:v>Obligatorio</x:v>
      </x:c>
      <x:c r="T31" s="10" t="str">
        <x:v>a9b6f65; operaciones 0.8.0. https://sigaa-duoc-2026.atlassian.net/browse/SCRUM-49</x:v>
      </x:c>
    </x:row>
    <x:row r="32" ht="60" customHeight="1">
      <x:c r="A32" s="10" t="str">
        <x:v>OPS-01</x:v>
      </x:c>
      <x:c r="B32" s="10" t="str"/>
      <x:c r="C32" s="10" t="str">
        <x:v>Verificar acceso HTTPS al dominio</x:v>
      </x:c>
      <x:c r="D32" s="10" t="str">
        <x:v>No aplica</x:v>
      </x:c>
      <x:c r="E32" s="10" t="str">
        <x:v>No aplica</x:v>
      </x:c>
      <x:c r="F32" s="14"/>
      <x:c r="G32" s="10" t="str">
        <x:v>Sprint 4 - complemento</x:v>
      </x:c>
      <x:c r="H32" s="10" t="str">
        <x:v>Parcial</x:v>
      </x:c>
      <x:c r="I32" s="10" t="str">
        <x:v>HTTPS válido al consultar Cloudflare; DNS local antiguo</x:v>
      </x:c>
      <x:c r="J32" s="10" t="str">
        <x:v>Confirmar acceso normal sin DNS antiguo y por distintos dispositivos.</x:v>
      </x:c>
      <x:c r="K32" s="11" t="str">
        <x:v>Equipo</x:v>
      </x:c>
      <x:c r="L32" s="11" t="str">
        <x:v>Joel</x:v>
      </x:c>
      <x:c r="M32" s="12"/>
      <x:c r="N32" s="12"/>
      <x:c r="O32" s="13" t="d">
        <x:v>2026-10-16T00:00:00.000Z</x:v>
      </x:c>
      <x:c r="P32" s="13" t="d">
        <x:v>2026-10-17T00:00:00.000Z</x:v>
      </x:c>
      <x:c r="Q32" s="10" t="n">
        <x:f>IF(OR(O32="",P32=""),"",P32-O32+1)</x:f>
        <x:v>2</x:v>
      </x:c>
      <x:c r="R32" s="10" t="str">
        <x:v>Cloudflare activo y resolución correcta</x:v>
      </x:c>
      <x:c r="S32" s="10" t="str">
        <x:v>Obligatorio</x:v>
      </x:c>
      <x:c r="T32" s="10" t="str">
        <x:v>Plan de cierre propuesto 15-10-2026. Seguimiento existente: SCRUM-52</x:v>
      </x:c>
    </x:row>
    <x:row r="33" ht="60" customHeight="1">
      <x:c r="A33" s="10" t="str">
        <x:v>PB-017</x:v>
      </x:c>
      <x:c r="B33" s="10" t="str">
        <x:v>SCRUM-29</x:v>
      </x:c>
      <x:c r="C33" s="10" t="str">
        <x:v>Evaluaciones y calificaciones</x:v>
      </x:c>
      <x:c r="D33" s="10" t="str">
        <x:v>Sprint 4 - Asistencia/Alertas</x:v>
      </x:c>
      <x:c r="E33" s="10" t="str">
        <x:v>En revisión</x:v>
      </x:c>
      <x:c r="F33" s="14" t="n">
        <x:v>8</x:v>
      </x:c>
      <x:c r="G33" s="10" t="str">
        <x:v>Sprint 4 - complemento</x:v>
      </x:c>
      <x:c r="H33" s="10" t="str">
        <x:v>Implementado</x:v>
      </x:c>
      <x:c r="I33" s="10" t="str">
        <x:v>Evaluaciones y notas con publicación</x:v>
      </x:c>
      <x:c r="J33" s="10" t="str">
        <x:v>Revisar criterios y aceptar en la revisión actual</x:v>
      </x:c>
      <x:c r="K33" s="11" t="str">
        <x:v>Joel</x:v>
      </x:c>
      <x:c r="L33" s="11" t="str">
        <x:v>Matías</x:v>
      </x:c>
      <x:c r="M33" s="12"/>
      <x:c r="N33" s="12"/>
      <x:c r="O33" s="13" t="d">
        <x:v>2026-10-15T00:00:00.000Z</x:v>
      </x:c>
      <x:c r="P33" s="13" t="d">
        <x:v>2026-10-17T00:00:00.000Z</x:v>
      </x:c>
      <x:c r="Q33" s="10" t="n">
        <x:f>IF(OR(O33="",P33=""),"",P33-O33+1)</x:f>
        <x:v>3</x:v>
      </x:c>
      <x:c r="R33" s="10" t="str">
        <x:v>PB-012 y PB-016</x:v>
      </x:c>
      <x:c r="S33" s="10" t="str">
        <x:v>Obligatorio</x:v>
      </x:c>
      <x:c r="T33" s="10" t="str">
        <x:v>899aab6; academic/operations tests. https://sigaa-duoc-2026.atlassian.net/browse/SCRUM-29</x:v>
      </x:c>
    </x:row>
    <x:row r="34" ht="60" customHeight="1">
      <x:c r="A34" s="10" t="str">
        <x:v>GEST-S5</x:v>
      </x:c>
      <x:c r="B34" s="10" t="str"/>
      <x:c r="C34" s="10" t="str">
        <x:v>Planificar, coordinar y revisar Sprint 5</x:v>
      </x:c>
      <x:c r="D34" s="10" t="str">
        <x:v>No aplica</x:v>
      </x:c>
      <x:c r="E34" s="10" t="str">
        <x:v>No aplica</x:v>
      </x:c>
      <x:c r="F34" s="14"/>
      <x:c r="G34" s="10" t="str">
        <x:v>Sprint 5 planificado</x:v>
      </x:c>
      <x:c r="H34" s="10" t="str">
        <x:v>Pendiente</x:v>
      </x:c>
      <x:c r="I34" s="10" t="str">
        <x:v>Actividad de cierre propuesta</x:v>
      </x:c>
      <x:c r="J34" s="10" t="str">
        <x:v>Planning, registros diarios reales, demostración y retrospectiva. No están realizados.</x:v>
      </x:c>
      <x:c r="K34" s="11" t="str">
        <x:v>Equipo</x:v>
      </x:c>
      <x:c r="L34" s="11" t="str">
        <x:v>Joel</x:v>
      </x:c>
      <x:c r="M34" s="12"/>
      <x:c r="N34" s="12"/>
      <x:c r="O34" s="13" t="d">
        <x:v>2026-10-19T00:00:00.000Z</x:v>
      </x:c>
      <x:c r="P34" s="13" t="d">
        <x:v>2026-10-31T00:00:00.000Z</x:v>
      </x:c>
      <x:c r="Q34" s="10" t="n">
        <x:f>IF(OR(O34="",P34=""),"",P34-O34+1)</x:f>
        <x:v>13</x:v>
      </x:c>
      <x:c r="R34" s="10" t="str">
        <x:v>PB-023, PB-024 y PB-036</x:v>
      </x:c>
      <x:c r="S34" s="10" t="str">
        <x:v>Obligatorio</x:v>
      </x:c>
      <x:c r="T34" s="10" t="str">
        <x:v>Plan de cierre propuesto 15-10-2026. Seguimiento existente: SCRUM-77/78/81/84/85</x:v>
      </x:c>
    </x:row>
    <x:row r="35" ht="60" customHeight="1">
      <x:c r="A35" s="10" t="str">
        <x:v>PB-023</x:v>
      </x:c>
      <x:c r="B35" s="10" t="str">
        <x:v>SCRUM-35</x:v>
      </x:c>
      <x:c r="C35" s="10" t="str">
        <x:v>Casos de seguimiento</x:v>
      </x:c>
      <x:c r="D35" s="10" t="str">
        <x:v>Sprint 5 - Seguimiento</x:v>
      </x:c>
      <x:c r="E35" s="10" t="str">
        <x:v>Pendiente</x:v>
      </x:c>
      <x:c r="F35" s="14" t="n">
        <x:v>8</x:v>
      </x:c>
      <x:c r="G35" s="10" t="str">
        <x:v>Sprint 5 planificado</x:v>
      </x:c>
      <x:c r="H35" s="10" t="str">
        <x:v>Pendiente</x:v>
      </x:c>
      <x:c r="I35" s="10" t="str">
        <x:v>Casos completos aún no desarrollados</x:v>
      </x:c>
      <x:c r="J35" s="10" t="str">
        <x:v>Implementar apertura, acciones, responsable y cierre</x:v>
      </x:c>
      <x:c r="K35" s="11" t="str">
        <x:v>Joel</x:v>
      </x:c>
      <x:c r="L35" s="11" t="str">
        <x:v>Matías</x:v>
      </x:c>
      <x:c r="M35" s="12"/>
      <x:c r="N35" s="12"/>
      <x:c r="O35" s="13" t="d">
        <x:v>2026-10-19T00:00:00.000Z</x:v>
      </x:c>
      <x:c r="P35" s="13" t="d">
        <x:v>2026-10-24T00:00:00.000Z</x:v>
      </x:c>
      <x:c r="Q35" s="10" t="n">
        <x:f>IF(OR(O35="",P35=""),"",P35-O35+1)</x:f>
        <x:v>6</x:v>
      </x:c>
      <x:c r="R35" s="10" t="str">
        <x:v>PB-021; aprobación de alcance</x:v>
      </x:c>
      <x:c r="S35" s="10" t="str">
        <x:v>Obligatorio</x:v>
      </x:c>
      <x:c r="T35" s="10" t="str">
        <x:v>Backlog y límites 0.8.0. https://sigaa-duoc-2026.atlassian.net/browse/SCRUM-35</x:v>
      </x:c>
    </x:row>
    <x:row r="36" ht="60" customHeight="1">
      <x:c r="A36" s="10" t="str">
        <x:v>PB-024</x:v>
      </x:c>
      <x:c r="B36" s="10" t="str">
        <x:v>SCRUM-36</x:v>
      </x:c>
      <x:c r="C36" s="10" t="str">
        <x:v>Ficha integral del estudiante</x:v>
      </x:c>
      <x:c r="D36" s="10" t="str">
        <x:v>Sprint 5 - Seguimiento</x:v>
      </x:c>
      <x:c r="E36" s="10" t="str">
        <x:v>Pendiente</x:v>
      </x:c>
      <x:c r="F36" s="14" t="n">
        <x:v>8</x:v>
      </x:c>
      <x:c r="G36" s="10" t="str">
        <x:v>Sprint 5 planificado</x:v>
      </x:c>
      <x:c r="H36" s="10" t="str">
        <x:v>Parcial</x:v>
      </x:c>
      <x:c r="I36" s="10" t="str">
        <x:v>Consultas académicas por rol existentes</x:v>
      </x:c>
      <x:c r="J36" s="10" t="str">
        <x:v>Integrar ficha con notas, asistencia, alertas y casos</x:v>
      </x:c>
      <x:c r="K36" s="11" t="str">
        <x:v>Agustín</x:v>
      </x:c>
      <x:c r="L36" s="11" t="str">
        <x:v>Joel</x:v>
      </x:c>
      <x:c r="M36" s="12"/>
      <x:c r="N36" s="12"/>
      <x:c r="O36" s="13" t="d">
        <x:v>2026-10-19T00:00:00.000Z</x:v>
      </x:c>
      <x:c r="P36" s="13" t="d">
        <x:v>2026-10-31T00:00:00.000Z</x:v>
      </x:c>
      <x:c r="Q36" s="10" t="n">
        <x:f>IF(OR(O36="",P36=""),"",P36-O36+1)</x:f>
        <x:v>13</x:v>
      </x:c>
      <x:c r="R36" s="10" t="str">
        <x:v>PB-023 y datos académicos</x:v>
      </x:c>
      <x:c r="S36" s="10" t="str">
        <x:v>Obligatorio</x:v>
      </x:c>
      <x:c r="T36" s="10" t="str">
        <x:v>Backlog y consultas actuales. https://sigaa-duoc-2026.atlassian.net/browse/SCRUM-36</x:v>
      </x:c>
    </x:row>
    <x:row r="37" ht="60" customHeight="1">
      <x:c r="A37" s="10" t="str">
        <x:v>PB-025</x:v>
      </x:c>
      <x:c r="B37" s="10" t="str">
        <x:v>SCRUM-37</x:v>
      </x:c>
      <x:c r="C37" s="10" t="str">
        <x:v>Notificaciones</x:v>
      </x:c>
      <x:c r="D37" s="10" t="str">
        <x:v>Sprint 5 - Seguimiento</x:v>
      </x:c>
      <x:c r="E37" s="10" t="str">
        <x:v>Pendiente</x:v>
      </x:c>
      <x:c r="F37" s="14" t="n">
        <x:v>5</x:v>
      </x:c>
      <x:c r="G37" s="10" t="str">
        <x:v>Sprint 5 planificado</x:v>
      </x:c>
      <x:c r="H37" s="10" t="str">
        <x:v>Pendiente</x:v>
      </x:c>
      <x:c r="I37" s="10" t="str">
        <x:v>Avisos internos completos pendientes</x:v>
      </x:c>
      <x:c r="J37" s="10" t="str">
        <x:v>Implementar avisos internos si se confirma capacidad</x:v>
      </x:c>
      <x:c r="K37" s="11" t="str">
        <x:v>Agustín</x:v>
      </x:c>
      <x:c r="L37" s="11" t="str">
        <x:v>Joel</x:v>
      </x:c>
      <x:c r="M37" s="12"/>
      <x:c r="N37" s="12"/>
      <x:c r="O37" s="13" t="d">
        <x:v>2026-10-26T00:00:00.000Z</x:v>
      </x:c>
      <x:c r="P37" s="13" t="d">
        <x:v>2026-10-31T00:00:00.000Z</x:v>
      </x:c>
      <x:c r="Q37" s="10" t="n">
        <x:f>IF(OR(O37="",P37=""),"",P37-O37+1)</x:f>
        <x:v>6</x:v>
      </x:c>
      <x:c r="R37" s="10" t="str">
        <x:v>PB-023; capacidad por confirmar</x:v>
      </x:c>
      <x:c r="S37" s="10" t="str">
        <x:v>Deseable</x:v>
      </x:c>
      <x:c r="T37" s="10" t="str">
        <x:v>Backlog vigente. https://sigaa-duoc-2026.atlassian.net/browse/SCRUM-37</x:v>
      </x:c>
    </x:row>
    <x:row r="38" ht="60" customHeight="1">
      <x:c r="A38" s="10" t="str">
        <x:v>PB-036</x:v>
      </x:c>
      <x:c r="B38" s="10" t="str">
        <x:v>SCRUM-48</x:v>
      </x:c>
      <x:c r="C38" s="10" t="str">
        <x:v>Gestión de apoderados</x:v>
      </x:c>
      <x:c r="D38" s="10" t="str">
        <x:v>Sprint 5 - Seguimiento</x:v>
      </x:c>
      <x:c r="E38" s="10" t="str">
        <x:v>Pendiente</x:v>
      </x:c>
      <x:c r="F38" s="14" t="n">
        <x:v>5</x:v>
      </x:c>
      <x:c r="G38" s="10" t="str">
        <x:v>Sprint 5 planificado</x:v>
      </x:c>
      <x:c r="H38" s="10" t="str">
        <x:v>Parcial</x:v>
      </x:c>
      <x:c r="I38" s="10" t="str">
        <x:v>Modelo base, gestión completa pendiente</x:v>
      </x:c>
      <x:c r="J38" s="10" t="str">
        <x:v>Completar relación apoderado-estudiante y permisos</x:v>
      </x:c>
      <x:c r="K38" s="11" t="str">
        <x:v>Matías</x:v>
      </x:c>
      <x:c r="L38" s="11" t="str">
        <x:v>Agustín</x:v>
      </x:c>
      <x:c r="M38" s="12"/>
      <x:c r="N38" s="12"/>
      <x:c r="O38" s="13" t="d">
        <x:v>2026-10-19T00:00:00.000Z</x:v>
      </x:c>
      <x:c r="P38" s="13" t="d">
        <x:v>2026-10-24T00:00:00.000Z</x:v>
      </x:c>
      <x:c r="Q38" s="10" t="n">
        <x:f>IF(OR(O38="",P38=""),"",P38-O38+1)</x:f>
        <x:v>6</x:v>
      </x:c>
      <x:c r="R38" s="10" t="str">
        <x:v>PB-015 y privacidad</x:v>
      </x:c>
      <x:c r="S38" s="10" t="str">
        <x:v>Obligatorio</x:v>
      </x:c>
      <x:c r="T38" s="10" t="str">
        <x:v>Backlog vigente. https://sigaa-duoc-2026.atlassian.net/browse/SCRUM-48</x:v>
      </x:c>
    </x:row>
    <x:row r="39" ht="60" customHeight="1">
      <x:c r="A39" s="10" t="str">
        <x:v>GEST-S6</x:v>
      </x:c>
      <x:c r="B39" s="10" t="str"/>
      <x:c r="C39" s="10" t="str">
        <x:v>Planificar, coordinar y revisar Sprint 6</x:v>
      </x:c>
      <x:c r="D39" s="10" t="str">
        <x:v>No aplica</x:v>
      </x:c>
      <x:c r="E39" s="10" t="str">
        <x:v>No aplica</x:v>
      </x:c>
      <x:c r="F39" s="14"/>
      <x:c r="G39" s="10" t="str">
        <x:v>Sprint 6 planificado</x:v>
      </x:c>
      <x:c r="H39" s="10" t="str">
        <x:v>Pendiente</x:v>
      </x:c>
      <x:c r="I39" s="10" t="str">
        <x:v>Actividad de cierre propuesta</x:v>
      </x:c>
      <x:c r="J39" s="10" t="str">
        <x:v>Registrar capacidad, seguimiento, review y mejoras reales.</x:v>
      </x:c>
      <x:c r="K39" s="11" t="str">
        <x:v>Equipo</x:v>
      </x:c>
      <x:c r="L39" s="11" t="str">
        <x:v>Joel</x:v>
      </x:c>
      <x:c r="M39" s="12"/>
      <x:c r="N39" s="12"/>
      <x:c r="O39" s="13" t="d">
        <x:v>2026-11-02T00:00:00.000Z</x:v>
      </x:c>
      <x:c r="P39" s="13" t="d">
        <x:v>2026-11-14T00:00:00.000Z</x:v>
      </x:c>
      <x:c r="Q39" s="10" t="n">
        <x:f>IF(OR(O39="",P39=""),"",P39-O39+1)</x:f>
        <x:v>13</x:v>
      </x:c>
      <x:c r="R39" s="10" t="str">
        <x:v>Alcance S6 acordado</x:v>
      </x:c>
      <x:c r="S39" s="10" t="str">
        <x:v>Obligatorio</x:v>
      </x:c>
      <x:c r="T39" s="10" t="str">
        <x:v>Plan de cierre propuesto 15-10-2026. Seguimiento existente: SCRUM-77/78/81/84/85</x:v>
      </x:c>
    </x:row>
    <x:row r="40" ht="60" customHeight="1">
      <x:c r="A40" s="10" t="str">
        <x:v>OPS-02</x:v>
      </x:c>
      <x:c r="B40" s="10" t="str"/>
      <x:c r="C40" s="10" t="str">
        <x:v>Respaldar y restaurar en ambiente aislado</x:v>
      </x:c>
      <x:c r="D40" s="10" t="str">
        <x:v>No aplica</x:v>
      </x:c>
      <x:c r="E40" s="10" t="str">
        <x:v>No aplica</x:v>
      </x:c>
      <x:c r="F40" s="14"/>
      <x:c r="G40" s="10" t="str">
        <x:v>Sprint 6 planificado</x:v>
      </x:c>
      <x:c r="H40" s="10" t="str">
        <x:v>Pendiente</x:v>
      </x:c>
      <x:c r="I40" s="10" t="str">
        <x:v>Actividad de cierre propuesta</x:v>
      </x:c>
      <x:c r="J40" s="10" t="str">
        <x:v>Programar respaldo y demostrar restauración sin tocar datos operativos.</x:v>
      </x:c>
      <x:c r="K40" s="11" t="str">
        <x:v>Equipo</x:v>
      </x:c>
      <x:c r="L40" s="11" t="str">
        <x:v>Joel</x:v>
      </x:c>
      <x:c r="M40" s="12"/>
      <x:c r="N40" s="12"/>
      <x:c r="O40" s="13" t="d">
        <x:v>2026-11-09T00:00:00.000Z</x:v>
      </x:c>
      <x:c r="P40" s="13" t="d">
        <x:v>2026-11-14T00:00:00.000Z</x:v>
      </x:c>
      <x:c r="Q40" s="10" t="n">
        <x:f>IF(OR(O40="",P40=""),"",P40-O40+1)</x:f>
        <x:v>6</x:v>
      </x:c>
      <x:c r="R40" s="10" t="str">
        <x:v>Versión candidata; copia autorizada</x:v>
      </x:c>
      <x:c r="S40" s="10" t="str">
        <x:v>Obligatorio</x:v>
      </x:c>
      <x:c r="T40" s="10" t="str">
        <x:v>Plan de cierre propuesto 15-10-2026. Seguimiento existente: SCRUM-41</x:v>
      </x:c>
    </x:row>
    <x:row r="41" ht="60" customHeight="1">
      <x:c r="A41" s="10" t="str">
        <x:v>PB-026</x:v>
      </x:c>
      <x:c r="B41" s="10" t="str">
        <x:v>SCRUM-38</x:v>
      </x:c>
      <x:c r="C41" s="10" t="str">
        <x:v>Indicadores agregados</x:v>
      </x:c>
      <x:c r="D41" s="10" t="str">
        <x:v>Sprint 6 - Calidad</x:v>
      </x:c>
      <x:c r="E41" s="10" t="str">
        <x:v>Pendiente</x:v>
      </x:c>
      <x:c r="F41" s="14" t="n">
        <x:v>8</x:v>
      </x:c>
      <x:c r="G41" s="10" t="str">
        <x:v>Sprint 6 planificado</x:v>
      </x:c>
      <x:c r="H41" s="10" t="str">
        <x:v>Pendiente</x:v>
      </x:c>
      <x:c r="I41" s="10" t="str">
        <x:v>Contadores de alertas no cubren analítica completa</x:v>
      </x:c>
      <x:c r="J41" s="10" t="str">
        <x:v>Acordar e implementar indicadores y verificar cálculos</x:v>
      </x:c>
      <x:c r="K41" s="11" t="str">
        <x:v>Agustín</x:v>
      </x:c>
      <x:c r="L41" s="11" t="str">
        <x:v>Joel</x:v>
      </x:c>
      <x:c r="M41" s="12"/>
      <x:c r="N41" s="12"/>
      <x:c r="O41" s="13" t="d">
        <x:v>2026-11-02T00:00:00.000Z</x:v>
      </x:c>
      <x:c r="P41" s="13" t="d">
        <x:v>2026-11-07T00:00:00.000Z</x:v>
      </x:c>
      <x:c r="Q41" s="10" t="n">
        <x:f>IF(OR(O41="",P41=""),"",P41-O41+1)</x:f>
        <x:v>6</x:v>
      </x:c>
      <x:c r="R41" s="10" t="str">
        <x:v>PB-019, PB-020 y reglas validadas</x:v>
      </x:c>
      <x:c r="S41" s="10" t="str">
        <x:v>Deseable</x:v>
      </x:c>
      <x:c r="T41" s="10" t="str">
        <x:v>Backlog vigente. https://sigaa-duoc-2026.atlassian.net/browse/SCRUM-38</x:v>
      </x:c>
    </x:row>
    <x:row r="42" ht="60" customHeight="1">
      <x:c r="A42" s="10" t="str">
        <x:v>PB-028</x:v>
      </x:c>
      <x:c r="B42" s="10" t="str">
        <x:v>SCRUM-40</x:v>
      </x:c>
      <x:c r="C42" s="10" t="str">
        <x:v>Auditoría de cambios sensibles</x:v>
      </x:c>
      <x:c r="D42" s="10" t="str">
        <x:v>Sprint 6 - Calidad</x:v>
      </x:c>
      <x:c r="E42" s="10" t="str">
        <x:v>Pendiente</x:v>
      </x:c>
      <x:c r="F42" s="14" t="n">
        <x:v>8</x:v>
      </x:c>
      <x:c r="G42" s="10" t="str">
        <x:v>Sprint 6 planificado</x:v>
      </x:c>
      <x:c r="H42" s="10" t="str">
        <x:v>Parcial</x:v>
      </x:c>
      <x:c r="I42" s="10" t="str">
        <x:v>Eventos de auditoría generados por la API</x:v>
      </x:c>
      <x:c r="J42" s="10" t="str">
        <x:v>Completar consulta y cobertura de cambios sensibles</x:v>
      </x:c>
      <x:c r="K42" s="11" t="str">
        <x:v>Joel</x:v>
      </x:c>
      <x:c r="L42" s="11" t="str">
        <x:v>Matías</x:v>
      </x:c>
      <x:c r="M42" s="12"/>
      <x:c r="N42" s="12"/>
      <x:c r="O42" s="13" t="d">
        <x:v>2026-11-02T00:00:00.000Z</x:v>
      </x:c>
      <x:c r="P42" s="13" t="d">
        <x:v>2026-11-07T00:00:00.000Z</x:v>
      </x:c>
      <x:c r="Q42" s="10" t="n">
        <x:f>IF(OR(O42="",P42=""),"",P42-O42+1)</x:f>
        <x:v>6</x:v>
      </x:c>
      <x:c r="R42" s="10" t="str">
        <x:v>PB-012; datos auditables</x:v>
      </x:c>
      <x:c r="S42" s="10" t="str">
        <x:v>Obligatorio</x:v>
      </x:c>
      <x:c r="T42" s="10" t="str">
        <x:v>evento_auditoria; backlog. https://sigaa-duoc-2026.atlassian.net/browse/SCRUM-40</x:v>
      </x:c>
    </x:row>
    <x:row r="43" ht="60" customHeight="1">
      <x:c r="A43" s="10" t="str">
        <x:v>PB-029</x:v>
      </x:c>
      <x:c r="B43" s="10" t="str">
        <x:v>SCRUM-41</x:v>
      </x:c>
      <x:c r="C43" s="10" t="str">
        <x:v>Pruebas integrales seguridad y rendimiento</x:v>
      </x:c>
      <x:c r="D43" s="10" t="str">
        <x:v>Sprint 6 - Calidad</x:v>
      </x:c>
      <x:c r="E43" s="10" t="str">
        <x:v>En curso</x:v>
      </x:c>
      <x:c r="F43" s="14" t="n">
        <x:v>8</x:v>
      </x:c>
      <x:c r="G43" s="10" t="str">
        <x:v>Sprint 6 planificado</x:v>
      </x:c>
      <x:c r="H43" s="10" t="str">
        <x:v>Parcial</x:v>
      </x:c>
      <x:c r="I43" s="10" t="str">
        <x:v>50 pruebas API y recorridos Chromium registrados</x:v>
      </x:c>
      <x:c r="J43" s="10" t="str">
        <x:v>Completar carga, accesibilidad y otros navegadores</x:v>
      </x:c>
      <x:c r="K43" s="11" t="str">
        <x:v>Matías</x:v>
      </x:c>
      <x:c r="L43" s="11" t="str">
        <x:v>Agustín</x:v>
      </x:c>
      <x:c r="M43" s="12"/>
      <x:c r="N43" s="12"/>
      <x:c r="O43" s="13" t="d">
        <x:v>2026-11-02T00:00:00.000Z</x:v>
      </x:c>
      <x:c r="P43" s="13" t="d">
        <x:v>2026-11-14T00:00:00.000Z</x:v>
      </x:c>
      <x:c r="Q43" s="10" t="n">
        <x:f>IF(OR(O43="",P43=""),"",P43-O43+1)</x:f>
        <x:v>13</x:v>
      </x:c>
      <x:c r="R43" s="10" t="str">
        <x:v>Incremento integrado S5-S6</x:v>
      </x:c>
      <x:c r="S43" s="10" t="str">
        <x:v>Obligatorio</x:v>
      </x:c>
      <x:c r="T43" s="10" t="str">
        <x:v>domain-docker-tests; operations-*. https://sigaa-duoc-2026.atlassian.net/browse/SCRUM-41</x:v>
      </x:c>
    </x:row>
    <x:row r="44" ht="60" customHeight="1">
      <x:c r="A44" s="10" t="str">
        <x:v>PB-030</x:v>
      </x:c>
      <x:c r="B44" s="10" t="str">
        <x:v>SCRUM-42</x:v>
      </x:c>
      <x:c r="C44" s="10" t="str">
        <x:v>Manual técnico y despliegue</x:v>
      </x:c>
      <x:c r="D44" s="10" t="str">
        <x:v>Sprint 6 - Calidad</x:v>
      </x:c>
      <x:c r="E44" s="10" t="str">
        <x:v>En revisión</x:v>
      </x:c>
      <x:c r="F44" s="14" t="n">
        <x:v>5</x:v>
      </x:c>
      <x:c r="G44" s="10" t="str">
        <x:v>Sprint 6 planificado</x:v>
      </x:c>
      <x:c r="H44" s="10" t="str">
        <x:v>Documentado</x:v>
      </x:c>
      <x:c r="I44" s="10" t="str">
        <x:v>Guías técnicas y de Docker existentes</x:v>
      </x:c>
      <x:c r="J44" s="10" t="str">
        <x:v>Actualizar guía final y verificar instalación limpia</x:v>
      </x:c>
      <x:c r="K44" s="11" t="str">
        <x:v>Joel</x:v>
      </x:c>
      <x:c r="L44" s="11" t="str">
        <x:v>Matías</x:v>
      </x:c>
      <x:c r="M44" s="12"/>
      <x:c r="N44" s="12"/>
      <x:c r="O44" s="13" t="d">
        <x:v>2026-11-09T00:00:00.000Z</x:v>
      </x:c>
      <x:c r="P44" s="13" t="d">
        <x:v>2026-11-14T00:00:00.000Z</x:v>
      </x:c>
      <x:c r="Q44" s="10" t="n">
        <x:f>IF(OR(O44="",P44=""),"",P44-O44+1)</x:f>
        <x:v>6</x:v>
      </x:c>
      <x:c r="R44" s="10" t="str">
        <x:v>Versión candidata y despliegue</x:v>
      </x:c>
      <x:c r="S44" s="10" t="str">
        <x:v>Obligatorio</x:v>
      </x:c>
      <x:c r="T44" s="10" t="str">
        <x:v>Manual técnico y README. https://sigaa-duoc-2026.atlassian.net/browse/SCRUM-42</x:v>
      </x:c>
    </x:row>
    <x:row r="45" ht="60" customHeight="1">
      <x:c r="A45" s="10" t="str">
        <x:v>PB-031</x:v>
      </x:c>
      <x:c r="B45" s="10" t="str">
        <x:v>SCRUM-43</x:v>
      </x:c>
      <x:c r="C45" s="10" t="str">
        <x:v>Manual de usuario</x:v>
      </x:c>
      <x:c r="D45" s="10" t="str">
        <x:v>Sprint 6 - Calidad</x:v>
      </x:c>
      <x:c r="E45" s="10" t="str">
        <x:v>Pendiente</x:v>
      </x:c>
      <x:c r="F45" s="14" t="n">
        <x:v>5</x:v>
      </x:c>
      <x:c r="G45" s="10" t="str">
        <x:v>Sprint 6 planificado</x:v>
      </x:c>
      <x:c r="H45" s="10" t="str">
        <x:v>Parcial</x:v>
      </x:c>
      <x:c r="I45" s="10" t="str">
        <x:v>Instrucciones de módulos en informes técnicos</x:v>
      </x:c>
      <x:c r="J45" s="10" t="str">
        <x:v>Consolidar manual por rol con capturas actuales</x:v>
      </x:c>
      <x:c r="K45" s="11" t="str">
        <x:v>Agustín</x:v>
      </x:c>
      <x:c r="L45" s="11" t="str">
        <x:v>Joel</x:v>
      </x:c>
      <x:c r="M45" s="12"/>
      <x:c r="N45" s="12"/>
      <x:c r="O45" s="13" t="d">
        <x:v>2026-11-09T00:00:00.000Z</x:v>
      </x:c>
      <x:c r="P45" s="13" t="d">
        <x:v>2026-11-14T00:00:00.000Z</x:v>
      </x:c>
      <x:c r="Q45" s="10" t="n">
        <x:f>IF(OR(O45="",P45=""),"",P45-O45+1)</x:f>
        <x:v>6</x:v>
      </x:c>
      <x:c r="R45" s="10" t="str">
        <x:v>Flujos estabilizados</x:v>
      </x:c>
      <x:c r="S45" s="10" t="str">
        <x:v>Deseable</x:v>
      </x:c>
      <x:c r="T45" s="10" t="str">
        <x:v>Informes técnicos 0.8.0. https://sigaa-duoc-2026.atlassian.net/browse/SCRUM-43</x:v>
      </x:c>
    </x:row>
    <x:row r="46" ht="60" customHeight="1">
      <x:c r="A46" s="10" t="str">
        <x:v>PB-032</x:v>
      </x:c>
      <x:c r="B46" s="10" t="str">
        <x:v>SCRUM-44</x:v>
      </x:c>
      <x:c r="C46" s="10" t="str">
        <x:v>Innovación y propuesta de valor</x:v>
      </x:c>
      <x:c r="D46" s="10" t="str">
        <x:v>Sprint 6 - Calidad</x:v>
      </x:c>
      <x:c r="E46" s="10" t="str">
        <x:v>Pendiente</x:v>
      </x:c>
      <x:c r="F46" s="14" t="n">
        <x:v>3</x:v>
      </x:c>
      <x:c r="G46" s="10" t="str">
        <x:v>Sprint 6 planificado</x:v>
      </x:c>
      <x:c r="H46" s="10" t="str">
        <x:v>Pendiente</x:v>
      </x:c>
      <x:c r="I46" s="10" t="str">
        <x:v>Visión descrita, informe de innovación pendiente</x:v>
      </x:c>
      <x:c r="J46" s="10" t="str">
        <x:v>Explicar valor diferencial con evidencia de validación</x:v>
      </x:c>
      <x:c r="K46" s="11" t="str">
        <x:v>Equipo</x:v>
      </x:c>
      <x:c r="L46" s="11" t="str">
        <x:v>Revisión cruzada</x:v>
      </x:c>
      <x:c r="M46" s="12"/>
      <x:c r="N46" s="12"/>
      <x:c r="O46" s="13" t="d">
        <x:v>2026-11-09T00:00:00.000Z</x:v>
      </x:c>
      <x:c r="P46" s="13" t="d">
        <x:v>2026-11-14T00:00:00.000Z</x:v>
      </x:c>
      <x:c r="Q46" s="10" t="n">
        <x:f>IF(OR(O46="",P46=""),"",P46-O46+1)</x:f>
        <x:v>6</x:v>
      </x:c>
      <x:c r="R46" s="10" t="str">
        <x:v>PB-001 y resultados de pruebas</x:v>
      </x:c>
      <x:c r="S46" s="10" t="str">
        <x:v>Obligatorio</x:v>
      </x:c>
      <x:c r="T46" s="10" t="str">
        <x:v>Backlog; visión del producto. https://sigaa-duoc-2026.atlassian.net/browse/SCRUM-44</x:v>
      </x:c>
    </x:row>
    <x:row r="47" ht="60" customHeight="1">
      <x:c r="A47" s="10" t="str">
        <x:v>GEST-S7</x:v>
      </x:c>
      <x:c r="B47" s="10" t="str"/>
      <x:c r="C47" s="10" t="str">
        <x:v>Correcciones, revisión y retrospectiva Sprint 7</x:v>
      </x:c>
      <x:c r="D47" s="10" t="str">
        <x:v>No aplica</x:v>
      </x:c>
      <x:c r="E47" s="10" t="str">
        <x:v>No aplica</x:v>
      </x:c>
      <x:c r="F47" s="14"/>
      <x:c r="G47" s="10" t="str">
        <x:v>Sprint 7 planificado</x:v>
      </x:c>
      <x:c r="H47" s="10" t="str">
        <x:v>Pendiente</x:v>
      </x:c>
      <x:c r="I47" s="10" t="str">
        <x:v>Actividad de cierre propuesta</x:v>
      </x:c>
      <x:c r="J47" s="10" t="str">
        <x:v>Resolver observaciones y documentar decisiones reales.</x:v>
      </x:c>
      <x:c r="K47" s="11" t="str">
        <x:v>Equipo</x:v>
      </x:c>
      <x:c r="L47" s="11" t="str">
        <x:v>Joel</x:v>
      </x:c>
      <x:c r="M47" s="12"/>
      <x:c r="N47" s="12"/>
      <x:c r="O47" s="13" t="d">
        <x:v>2026-11-16T00:00:00.000Z</x:v>
      </x:c>
      <x:c r="P47" s="13" t="d">
        <x:v>2026-11-28T00:00:00.000Z</x:v>
      </x:c>
      <x:c r="Q47" s="10" t="n">
        <x:f>IF(OR(O47="",P47=""),"",P47-O47+1)</x:f>
        <x:v>13</x:v>
      </x:c>
      <x:c r="R47" s="10" t="str">
        <x:v>Entrega Fase 2 y retroalimentación</x:v>
      </x:c>
      <x:c r="S47" s="10" t="str">
        <x:v>Obligatorio</x:v>
      </x:c>
      <x:c r="T47" s="10" t="str">
        <x:v>Plan de cierre propuesto 15-10-2026. Seguimiento existente: SCRUM-77/78/81/84/85</x:v>
      </x:c>
    </x:row>
    <x:row r="48" ht="60" customHeight="1">
      <x:c r="A48" s="10" t="str">
        <x:v>PB-033</x:v>
      </x:c>
      <x:c r="B48" s="10" t="str">
        <x:v>SCRUM-45</x:v>
      </x:c>
      <x:c r="C48" s="10" t="str">
        <x:v>Entrega final Fase 2</x:v>
      </x:c>
      <x:c r="D48" s="10" t="str">
        <x:v>Sprint 7 - Entrega</x:v>
      </x:c>
      <x:c r="E48" s="10" t="str">
        <x:v>Pendiente</x:v>
      </x:c>
      <x:c r="F48" s="14" t="n">
        <x:v>8</x:v>
      </x:c>
      <x:c r="G48" s="10" t="str">
        <x:v>Sprint 7 planificado</x:v>
      </x:c>
      <x:c r="H48" s="10" t="str">
        <x:v>Pendiente</x:v>
      </x:c>
      <x:c r="I48" s="10" t="str">
        <x:v>Avance Fase 2 no sustituye entrega final</x:v>
      </x:c>
      <x:c r="J48" s="10" t="str">
        <x:v>Consolidar informe, presentar y entregar en Campus</x:v>
      </x:c>
      <x:c r="K48" s="11" t="str">
        <x:v>Equipo</x:v>
      </x:c>
      <x:c r="L48" s="11" t="str">
        <x:v>Revisión cruzada</x:v>
      </x:c>
      <x:c r="M48" s="12"/>
      <x:c r="N48" s="12"/>
      <x:c r="O48" s="13" t="d">
        <x:v>2026-11-16T00:00:00.000Z</x:v>
      </x:c>
      <x:c r="P48" s="13" t="d">
        <x:v>2026-11-21T00:00:00.000Z</x:v>
      </x:c>
      <x:c r="Q48" s="10" t="n">
        <x:f>IF(OR(O48="",P48=""),"",P48-O48+1)</x:f>
        <x:v>6</x:v>
      </x:c>
      <x:c r="R48" s="10" t="str">
        <x:v>PB-029, PB-030, PB-031 y PB-032</x:v>
      </x:c>
      <x:c r="S48" s="10" t="str">
        <x:v>Obligatorio</x:v>
      </x:c>
      <x:c r="T48" s="10" t="str">
        <x:v>Cronograma oficial semana 15. https://sigaa-duoc-2026.atlassian.net/browse/SCRUM-45</x:v>
      </x:c>
    </x:row>
    <x:row r="49" ht="60" customHeight="1">
      <x:c r="A49" s="10" t="str">
        <x:v>PB-034</x:v>
      </x:c>
      <x:c r="B49" s="10" t="str">
        <x:v>SCRUM-46</x:v>
      </x:c>
      <x:c r="C49" s="10" t="str">
        <x:v>Defensa y retrospectiva del proyecto</x:v>
      </x:c>
      <x:c r="D49" s="10" t="str">
        <x:v>Sin sprint</x:v>
      </x:c>
      <x:c r="E49" s="10" t="str">
        <x:v>Pendiente</x:v>
      </x:c>
      <x:c r="F49" s="14" t="n">
        <x:v>5</x:v>
      </x:c>
      <x:c r="G49" s="10" t="str">
        <x:v>Defensa y cierre</x:v>
      </x:c>
      <x:c r="H49" s="10" t="str">
        <x:v>Pendiente</x:v>
      </x:c>
      <x:c r="I49" s="10" t="str">
        <x:v>Defensa y retrospectiva final no realizadas</x:v>
      </x:c>
      <x:c r="J49" s="10" t="str">
        <x:v>Ensayar, presentar y registrar cierre real del equipo</x:v>
      </x:c>
      <x:c r="K49" s="11" t="str">
        <x:v>Equipo</x:v>
      </x:c>
      <x:c r="L49" s="11" t="str">
        <x:v>Revisión cruzada</x:v>
      </x:c>
      <x:c r="M49" s="12"/>
      <x:c r="N49" s="12"/>
      <x:c r="O49" s="13" t="d">
        <x:v>2026-11-23T00:00:00.000Z</x:v>
      </x:c>
      <x:c r="P49" s="13" t="d">
        <x:v>2026-12-12T00:00:00.000Z</x:v>
      </x:c>
      <x:c r="Q49" s="10" t="n">
        <x:f>IF(OR(O49="",P49=""),"",P49-O49+1)</x:f>
        <x:v>20</x:v>
      </x:c>
      <x:c r="R49" s="10" t="str">
        <x:v>PB-033 y retroalimentación docente</x:v>
      </x:c>
      <x:c r="S49" s="10" t="str">
        <x:v>Obligatorio</x:v>
      </x:c>
      <x:c r="T49" s="10" t="str">
        <x:v>Cronograma oficial semanas 16-18. https://sigaa-duoc-2026.atlassian.net/browse/SCRUM-46</x:v>
      </x:c>
    </x:row>
    <x:row r="50" ht="60" customHeight="1">
      <x:c r="A50" s="10" t="str">
        <x:v>PB-018</x:v>
      </x:c>
      <x:c r="B50" s="10" t="str">
        <x:v>SCRUM-30</x:v>
      </x:c>
      <x:c r="C50" s="10" t="str">
        <x:v>Importación validada</x:v>
      </x:c>
      <x:c r="D50" s="10" t="str">
        <x:v>Sin sprint</x:v>
      </x:c>
      <x:c r="E50" s="10" t="str">
        <x:v>Pendiente</x:v>
      </x:c>
      <x:c r="F50" s="14" t="n">
        <x:v>5</x:v>
      </x:c>
      <x:c r="G50" s="10" t="str">
        <x:v>Opcional sin fecha</x:v>
      </x:c>
      <x:c r="H50" s="10" t="str">
        <x:v>Pendiente</x:v>
      </x:c>
      <x:c r="I50" s="10" t="str">
        <x:v>Importación completa no implementada</x:v>
      </x:c>
      <x:c r="J50" s="10" t="str">
        <x:v>Decidir inclusión después del alcance obligatorio</x:v>
      </x:c>
      <x:c r="K50" s="11" t="str">
        <x:v>Matías</x:v>
      </x:c>
      <x:c r="L50" s="11" t="str">
        <x:v>Agustín</x:v>
      </x:c>
      <x:c r="M50" s="12"/>
      <x:c r="N50" s="12"/>
      <x:c r="O50" s="13"/>
      <x:c r="P50" s="13"/>
      <x:c r="Q50" s="10" t="str">
        <x:f>IF(OR(O50="",P50=""),"",P50-O50+1)</x:f>
      </x:c>
      <x:c r="R50" s="10" t="str">
        <x:v>Capacidad y aprobación del PO</x:v>
      </x:c>
      <x:c r="S50" s="10" t="str">
        <x:v>Deseable</x:v>
      </x:c>
      <x:c r="T50" s="10" t="str">
        <x:v>Backlog vigente. https://sigaa-duoc-2026.atlassian.net/browse/SCRUM-30</x:v>
      </x:c>
    </x:row>
    <x:row r="51" ht="60" customHeight="1">
      <x:c r="A51" s="10" t="str">
        <x:v>PB-027</x:v>
      </x:c>
      <x:c r="B51" s="10" t="str">
        <x:v>SCRUM-39</x:v>
      </x:c>
      <x:c r="C51" s="10" t="str">
        <x:v>Exportación de reportes</x:v>
      </x:c>
      <x:c r="D51" s="10" t="str">
        <x:v>Sin sprint</x:v>
      </x:c>
      <x:c r="E51" s="10" t="str">
        <x:v>Pendiente</x:v>
      </x:c>
      <x:c r="F51" s="14" t="n">
        <x:v>5</x:v>
      </x:c>
      <x:c r="G51" s="10" t="str">
        <x:v>Opcional sin fecha</x:v>
      </x:c>
      <x:c r="H51" s="10" t="str">
        <x:v>Pendiente</x:v>
      </x:c>
      <x:c r="I51" s="10" t="str">
        <x:v>Exportación completa pendiente</x:v>
      </x:c>
      <x:c r="J51" s="10" t="str">
        <x:v>Decidir inclusión después del alcance obligatorio</x:v>
      </x:c>
      <x:c r="K51" s="11" t="str">
        <x:v>Equipo</x:v>
      </x:c>
      <x:c r="L51" s="11" t="str">
        <x:v>Revisión cruzada</x:v>
      </x:c>
      <x:c r="M51" s="12"/>
      <x:c r="N51" s="12"/>
      <x:c r="O51" s="13"/>
      <x:c r="P51" s="13"/>
      <x:c r="Q51" s="10" t="str">
        <x:f>IF(OR(O51="",P51=""),"",P51-O51+1)</x:f>
      </x:c>
      <x:c r="R51" s="10" t="str">
        <x:v>Capacidad y aprobación del PO</x:v>
      </x:c>
      <x:c r="S51" s="10" t="str">
        <x:v>Opcional</x:v>
      </x:c>
      <x:c r="T51" s="10" t="str">
        <x:v>Backlog vigente. https://sigaa-duoc-2026.atlassian.net/browse/SCRUM-39</x:v>
      </x:c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>
      <x:c r="A54" s="15" t="str">
        <x:v>Fuentes y reglas de actualización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3" customHeight="1">
      <x:c r="A55" s="2" t="str">
        <x:v>Jira: proyecto SCRUM, tablero 1. Consulta completa de 114 incidencias el 15-10-2026. Esta tabla conserva las 40 PB, sin épicas ni subtareas duplicadas.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3" customHeight="1">
      <x:c r="A56" s="2" t="str">
        <x:v>Fuente técnica: Implementación 0.8.0 (a9b6f65), operación académica (899aab6), navegación (b350ba2) y pruebas domain/operations del repositorio.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3" customHeight="1">
      <x:c r="A57" s="2" t="str">
        <x:v>Repositorio: https://github.com/joellopez775/Captsone/tree/codex/Work-gestion-agil-2026-09-24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3" customHeight="1">
      <x:c r="A58" s="2" t="str">
        <x:v>Historia Terminada es el estado de Jira, no una fecha real inferida. Implementado no equivale a aceptado. Parcial exige contrastar todos los criterios.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3" customHeight="1">
      <x:c r="A59" s="2" t="str">
        <x:v>Las fechas históricas de S0-S2 son ventanas documentales. Jira no tiene fechas en esos contenedores. S3 usa 24/09-08/10 de Jira; el plan documental decía 21/09-03/10.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3" customHeight="1">
      <x:c r="A60" s="2" t="str">
        <x:v>S1, S3 y S4 figuran activos al verificar. S1 cambió durante la sincronización a 14-28 octubre. Se conserva la ventana histórica documental, sin atribuir inicio ni cierre.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3" customHeight="1">
      <x:c r="A61" s="2" t="str">
        <x:v>Modificar O-P mueve las barras automáticamente. K-L permite ajustar reparto. Para cambiar el grupo G, reordenar la Gantt en una nueva revisión: sus secciones son fijas.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3" customHeight="1">
      <x:c r="A62" s="2" t="str">
        <x:v>S5-S7 están planificados en Jira, sin iniciar. PB-017 pertenece ahora a S4 y se muestra como complemento: S4 suma 42 puntos. GEST/OPS enlazan tarjetas existentes sin sumar puntos.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3" customHeight="1">
      <x:c r="A63" s="2" t="str">
        <x:v>PB-024 y PB-036 cambiaron a Pendiente durante la sincronización. Se refleja el estado leído sin borrar la evidencia parcial ni inferir una aprobación.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3" customHeight="1">
      <x:c r="A64" s="2" t="str">
        <x:v>PB-018 y PB-027 conservan puntos y estado sin fechas. No se inventan reuniones. Cambios posteriores en Excel no se sincronizan automáticamente con Jira.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</x:sheetData>
  <x:conditionalFormatting sqref="E7:E51">
    <x:cfRule type="containsText" dxfId="0" priority="1" operator="containsText" text="Terminada"/>
    <x:cfRule type="containsText" dxfId="1" priority="2" operator="containsText" text="En revisión"/>
    <x:cfRule type="containsText" dxfId="2" priority="3" operator="containsText" text="En curso"/>
    <x:cfRule type="containsText" dxfId="3" priority="4" operator="containsText" text="Pendiente"/>
  </x:conditionalFormatting>
  <x:dataValidations count="1">
    <x:dataValidation type="list" sqref="K7:L51">
      <x:formula1>"Joel,Matías,Agustín,Equipo,Revisión cruzada"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3476628434437"/>
  </x:tableParts>
</x:worksheet>
</file>

<file path=xl/worksheets/sheet3.xml><?xml version="1.0" encoding="utf-8"?>
<x:worksheet xmlns:x="http://schemas.openxmlformats.org/spreadsheetml/2006/main">
  <x:sheetPr>
    <x:tabColor rgb="FFAEBEB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64" hidden="0" customWidth="1"/>
    <x:col min="6" max="6" width="15" hidden="0" customWidth="1"/>
    <x:col min="7" max="7" width="3" hidden="0" customWidth="1"/>
    <x:col min="8" max="8" width="30" hidden="0" customWidth="1"/>
    <x:col min="9" max="9" width="34" hidden="0" customWidth="1"/>
    <x:col min="10" max="10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4" t="str">
        <x:v>Calendario oficial y fuentes de fechas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" t="str">
        <x:v>Fuente: 2026.02_Cronograma_Capstone_PTY4614.xlsx, hoja Cronogramas, A1:J19. Las fechas son ventanas semanales, no plazos diarios.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El desarrollo formal inicia el 7 de septiembre (semana 5). El 31 de agosto inicia la presentación de Fase 1, no el desarrollo.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9" t="str">
        <x:v>Semana</x:v>
      </x:c>
      <x:c r="B6" s="9" t="str">
        <x:v>Inicio</x:v>
      </x:c>
      <x:c r="C6" s="9" t="str">
        <x:v>Término</x:v>
      </x:c>
      <x:c r="D6" s="9" t="str">
        <x:v>Fase</x:v>
      </x:c>
      <x:c r="E6" s="9" t="str">
        <x:v>Actividad oficial resumida</x:v>
      </x:c>
      <x:c r="F6" s="9" t="str">
        <x:v>Evaluación</x:v>
      </x:c>
      <x:c r="G6" s="2"/>
      <x:c r="H6" s="9" t="str">
        <x:v>Sprint existente</x:v>
      </x:c>
      <x:c r="I6" s="9" t="str">
        <x:v>Estado Jira</x:v>
      </x:c>
      <x:c r="J6" s="9" t="str">
        <x:v>Fechas de Jira / observación</x:v>
      </x:c>
    </x:row>
    <x:row r="7" ht="46" customHeight="1">
      <x:c r="A7" s="2" t="n">
        <x:v>1</x:v>
      </x:c>
      <x:c r="B7" s="28" t="d">
        <x:v>2026-08-10T00:00:00.000Z</x:v>
      </x:c>
      <x:c r="C7" s="28" t="d">
        <x:v>2026-08-15T00:00:00.000Z</x:v>
      </x:c>
      <x:c r="D7" s="2" t="str">
        <x:v>Fase 1</x:v>
      </x:c>
      <x:c r="E7" s="10" t="str">
        <x:v>Definición del proyecto y autoevaluación de competencias</x:v>
      </x:c>
      <x:c r="F7" s="2" t="str">
        <x:v>No</x:v>
      </x:c>
      <x:c r="G7" s="2"/>
      <x:c r="H7" s="10" t="str">
        <x:v>Sprint 0 - Histórico</x:v>
      </x:c>
      <x:c r="I7" s="10" t="str">
        <x:v>future</x:v>
      </x:c>
      <x:c r="J7" s="10" t="str">
        <x:v>Sin fechas. Ventana documental en Actividades.</x:v>
      </x:c>
    </x:row>
    <x:row r="8" ht="46" customHeight="1">
      <x:c r="A8" s="2" t="n">
        <x:v>2</x:v>
      </x:c>
      <x:c r="B8" s="28" t="d">
        <x:v>2026-08-17T00:00:00.000Z</x:v>
      </x:c>
      <x:c r="C8" s="28" t="d">
        <x:v>2026-08-22T00:00:00.000Z</x:v>
      </x:c>
      <x:c r="D8" s="2" t="str">
        <x:v>Fase 1</x:v>
      </x:c>
      <x:c r="E8" s="10" t="str">
        <x:v>Mejoras, cronograma y tecnologías</x:v>
      </x:c>
      <x:c r="F8" s="2" t="str">
        <x:v>No</x:v>
      </x:c>
      <x:c r="G8" s="2"/>
      <x:c r="H8" s="10" t="str">
        <x:v>Sprint 1 - Histórico</x:v>
      </x:c>
      <x:c r="I8" s="10" t="str">
        <x:v>active</x:v>
      </x:c>
      <x:c r="J8" s="10" t="str">
        <x:v>2026-10-14 al 2026-10-28</x:v>
      </x:c>
    </x:row>
    <x:row r="9" ht="46" customHeight="1">
      <x:c r="A9" s="2" t="n">
        <x:v>3</x:v>
      </x:c>
      <x:c r="B9" s="28" t="d">
        <x:v>2026-08-24T00:00:00.000Z</x:v>
      </x:c>
      <x:c r="C9" s="28" t="d">
        <x:v>2026-08-29T00:00:00.000Z</x:v>
      </x:c>
      <x:c r="D9" s="2" t="str">
        <x:v>Fase 1</x:v>
      </x:c>
      <x:c r="E9" s="10" t="str">
        <x:v>Asesoría, cronograma y tecnologías</x:v>
      </x:c>
      <x:c r="F9" s="2" t="str">
        <x:v>No</x:v>
      </x:c>
      <x:c r="G9" s="2"/>
      <x:c r="H9" s="10" t="str">
        <x:v>Sprint 2 - Histórico</x:v>
      </x:c>
      <x:c r="I9" s="10" t="str">
        <x:v>future</x:v>
      </x:c>
      <x:c r="J9" s="10" t="str">
        <x:v>Sin fechas. Ventana documental en Actividades.</x:v>
      </x:c>
    </x:row>
    <x:row r="10" ht="46" customHeight="1">
      <x:c r="A10" s="2" t="n">
        <x:v>4</x:v>
      </x:c>
      <x:c r="B10" s="28" t="d">
        <x:v>2026-08-31T00:00:00.000Z</x:v>
      </x:c>
      <x:c r="C10" s="28" t="d">
        <x:v>2026-09-05T00:00:00.000Z</x:v>
      </x:c>
      <x:c r="D10" s="2" t="str">
        <x:v>Fase 1</x:v>
      </x:c>
      <x:c r="E10" s="10" t="str">
        <x:v>Presentación grupal de Fase 1</x:v>
      </x:c>
      <x:c r="F10" s="2" t="str">
        <x:v>Sí</x:v>
      </x:c>
      <x:c r="G10" s="2"/>
      <x:c r="H10" s="10" t="str">
        <x:v>Sprint 3 - Actual</x:v>
      </x:c>
      <x:c r="I10" s="10" t="str">
        <x:v>active</x:v>
      </x:c>
      <x:c r="J10" s="10" t="str">
        <x:v>2026-09-24 al 2026-10-08</x:v>
      </x:c>
    </x:row>
    <x:row r="11" ht="46" customHeight="1">
      <x:c r="A11" s="2" t="n">
        <x:v>5</x:v>
      </x:c>
      <x:c r="B11" s="28" t="d">
        <x:v>2026-09-07T00:00:00.000Z</x:v>
      </x:c>
      <x:c r="C11" s="28" t="d">
        <x:v>2026-09-12T00:00:00.000Z</x:v>
      </x:c>
      <x:c r="D11" s="2" t="str">
        <x:v>Fase 2</x:v>
      </x:c>
      <x:c r="E11" s="10" t="str">
        <x:v>Retroalimentación e inicio del desarrollo</x:v>
      </x:c>
      <x:c r="F11" s="2" t="str">
        <x:v>No</x:v>
      </x:c>
      <x:c r="G11" s="2"/>
      <x:c r="H11" s="10" t="str">
        <x:v>Sprint 4 - Asistencia/Alertas</x:v>
      </x:c>
      <x:c r="I11" s="10" t="str">
        <x:v>active</x:v>
      </x:c>
      <x:c r="J11" s="10" t="str">
        <x:v>2026-10-05 al 2026-10-17</x:v>
      </x:c>
    </x:row>
    <x:row r="12" ht="46" customHeight="1">
      <x:c r="A12" s="2" t="n">
        <x:v>6</x:v>
      </x:c>
      <x:c r="B12" s="28" t="d">
        <x:v>2026-09-14T00:00:00.000Z</x:v>
      </x:c>
      <x:c r="C12" s="28" t="d">
        <x:v>2026-09-19T00:00:00.000Z</x:v>
      </x:c>
      <x:c r="D12" s="2" t="str">
        <x:v>Fase 2</x:v>
      </x:c>
      <x:c r="E12" s="10" t="str">
        <x:v>Actualización de objetivos, metodología y cronograma</x:v>
      </x:c>
      <x:c r="F12" s="2" t="str">
        <x:v>No</x:v>
      </x:c>
      <x:c r="G12" s="2"/>
      <x:c r="H12" s="10" t="str">
        <x:v>Sprint 5 - Seguimiento</x:v>
      </x:c>
      <x:c r="I12" s="10" t="str">
        <x:v>future</x:v>
      </x:c>
      <x:c r="J12" s="10" t="str">
        <x:v>2026-10-19 al 2026-10-31</x:v>
      </x:c>
    </x:row>
    <x:row r="13" ht="46" customHeight="1">
      <x:c r="A13" s="2" t="n">
        <x:v>7</x:v>
      </x:c>
      <x:c r="B13" s="28" t="d">
        <x:v>2026-09-21T00:00:00.000Z</x:v>
      </x:c>
      <x:c r="C13" s="28" t="d">
        <x:v>2026-09-26T00:00:00.000Z</x:v>
      </x:c>
      <x:c r="D13" s="2" t="str">
        <x:v>Fase 2</x:v>
      </x:c>
      <x:c r="E13" s="10" t="str">
        <x:v>Desarrollo del proyecto</x:v>
      </x:c>
      <x:c r="F13" s="2" t="str">
        <x:v>No</x:v>
      </x:c>
      <x:c r="G13" s="2"/>
      <x:c r="H13" s="10" t="str">
        <x:v>Sprint 6 - Calidad</x:v>
      </x:c>
      <x:c r="I13" s="10" t="str">
        <x:v>future</x:v>
      </x:c>
      <x:c r="J13" s="10" t="str">
        <x:v>2026-11-02 al 2026-11-14</x:v>
      </x:c>
    </x:row>
    <x:row r="14" ht="46" customHeight="1">
      <x:c r="A14" s="2" t="n">
        <x:v>8</x:v>
      </x:c>
      <x:c r="B14" s="28" t="d">
        <x:v>2026-09-28T00:00:00.000Z</x:v>
      </x:c>
      <x:c r="C14" s="28" t="d">
        <x:v>2026-10-03T00:00:00.000Z</x:v>
      </x:c>
      <x:c r="D14" s="2" t="str">
        <x:v>Fase 2</x:v>
      </x:c>
      <x:c r="E14" s="10" t="str">
        <x:v>Desarrollo y autoevaluación del avance</x:v>
      </x:c>
      <x:c r="F14" s="2" t="str">
        <x:v>No</x:v>
      </x:c>
      <x:c r="G14" s="2"/>
      <x:c r="H14" s="10" t="str">
        <x:v>Sprint 7 - Entrega</x:v>
      </x:c>
      <x:c r="I14" s="10" t="str">
        <x:v>future</x:v>
      </x:c>
      <x:c r="J14" s="10" t="str">
        <x:v>2026-11-16 al 2026-11-28</x:v>
      </x:c>
    </x:row>
    <x:row r="15" ht="42" customHeight="1">
      <x:c r="A15" s="2" t="n">
        <x:v>9</x:v>
      </x:c>
      <x:c r="B15" s="28" t="d">
        <x:v>2026-10-05T00:00:00.000Z</x:v>
      </x:c>
      <x:c r="C15" s="28" t="d">
        <x:v>2026-10-10T00:00:00.000Z</x:v>
      </x:c>
      <x:c r="D15" s="2" t="str">
        <x:v>Fase 2</x:v>
      </x:c>
      <x:c r="E15" s="10" t="str">
        <x:v>Desarrollo y evaluación formativa</x:v>
      </x:c>
      <x:c r="F15" s="2" t="str">
        <x:v>No</x:v>
      </x:c>
      <x:c r="G15" s="2"/>
      <x:c r="H15" s="2"/>
      <x:c r="I15" s="2"/>
      <x:c r="J15" s="2"/>
    </x:row>
    <x:row r="16" ht="42" customHeight="1">
      <x:c r="A16" s="2" t="n">
        <x:v>10</x:v>
      </x:c>
      <x:c r="B16" s="28" t="d">
        <x:v>2026-10-12T00:00:00.000Z</x:v>
      </x:c>
      <x:c r="C16" s="28" t="d">
        <x:v>2026-10-17T00:00:00.000Z</x:v>
      </x:c>
      <x:c r="D16" s="2" t="str">
        <x:v>Fase 2</x:v>
      </x:c>
      <x:c r="E16" s="10" t="str">
        <x:v>Entrega evaluada de avance sin presentación</x:v>
      </x:c>
      <x:c r="F16" s="2" t="str">
        <x:v>Sí</x:v>
      </x:c>
      <x:c r="G16" s="2"/>
      <x:c r="H16" s="2" t="str">
        <x:v>Plan de cierre registrado</x:v>
      </x:c>
      <x:c r="I16" s="2"/>
      <x:c r="J16" s="2"/>
    </x:row>
    <x:row r="17" ht="34" customHeight="1">
      <x:c r="A17" s="2" t="n">
        <x:v>11</x:v>
      </x:c>
      <x:c r="B17" s="28" t="d">
        <x:v>2026-10-19T00:00:00.000Z</x:v>
      </x:c>
      <x:c r="C17" s="28" t="d">
        <x:v>2026-10-24T00:00:00.000Z</x:v>
      </x:c>
      <x:c r="D17" s="2" t="str">
        <x:v>Fase 2</x:v>
      </x:c>
      <x:c r="E17" s="10" t="str">
        <x:v>Retroalimentación e inicio del informe final</x:v>
      </x:c>
      <x:c r="F17" s="2" t="str">
        <x:v>No</x:v>
      </x:c>
      <x:c r="G17" s="2"/>
      <x:c r="H17" s="2" t="str">
        <x:v>Sprint 5</x:v>
      </x:c>
      <x:c r="I17" s="2" t="str">
        <x:v>19-31 octubre</x:v>
      </x:c>
      <x:c r="J17" s="2" t="str">
        <x:v>Casos, ficha y apoderados</x:v>
      </x:c>
    </x:row>
    <x:row r="18" ht="34" customHeight="1">
      <x:c r="A18" s="2" t="n">
        <x:v>12</x:v>
      </x:c>
      <x:c r="B18" s="28" t="d">
        <x:v>2026-10-26T00:00:00.000Z</x:v>
      </x:c>
      <x:c r="C18" s="28" t="d">
        <x:v>2026-10-31T00:00:00.000Z</x:v>
      </x:c>
      <x:c r="D18" s="2" t="str">
        <x:v>Fase 2</x:v>
      </x:c>
      <x:c r="E18" s="10" t="str">
        <x:v>Desarrollo del proyecto</x:v>
      </x:c>
      <x:c r="F18" s="2" t="str">
        <x:v>No</x:v>
      </x:c>
      <x:c r="G18" s="2"/>
      <x:c r="H18" s="2" t="str">
        <x:v>Sprint 6</x:v>
      </x:c>
      <x:c r="I18" s="2" t="str">
        <x:v>2-14 noviembre</x:v>
      </x:c>
      <x:c r="J18" s="2" t="str">
        <x:v>Auditoría, pruebas y operación</x:v>
      </x:c>
    </x:row>
    <x:row r="19" ht="34" customHeight="1">
      <x:c r="A19" s="2" t="n">
        <x:v>13</x:v>
      </x:c>
      <x:c r="B19" s="28" t="d">
        <x:v>2026-11-02T00:00:00.000Z</x:v>
      </x:c>
      <x:c r="C19" s="28" t="d">
        <x:v>2026-11-07T00:00:00.000Z</x:v>
      </x:c>
      <x:c r="D19" s="2" t="str">
        <x:v>Fase 2</x:v>
      </x:c>
      <x:c r="E19" s="10" t="str">
        <x:v>Desarrollo del proyecto</x:v>
      </x:c>
      <x:c r="F19" s="2" t="str">
        <x:v>No</x:v>
      </x:c>
      <x:c r="G19" s="2"/>
      <x:c r="H19" s="2" t="str">
        <x:v>Sprint 7</x:v>
      </x:c>
      <x:c r="I19" s="2" t="str">
        <x:v>16-28 noviembre</x:v>
      </x:c>
      <x:c r="J19" s="2" t="str">
        <x:v>Entrega y correcciones</x:v>
      </x:c>
    </x:row>
    <x:row r="20" ht="34" customHeight="1">
      <x:c r="A20" s="2" t="n">
        <x:v>14</x:v>
      </x:c>
      <x:c r="B20" s="28" t="d">
        <x:v>2026-11-09T00:00:00.000Z</x:v>
      </x:c>
      <x:c r="C20" s="28" t="d">
        <x:v>2026-11-14T00:00:00.000Z</x:v>
      </x:c>
      <x:c r="D20" s="2" t="str">
        <x:v>Fase 2</x:v>
      </x:c>
      <x:c r="E20" s="10" t="str">
        <x:v>Desarrollo del proyecto</x:v>
      </x:c>
      <x:c r="F20" s="2" t="str">
        <x:v>No</x:v>
      </x:c>
      <x:c r="G20" s="2"/>
      <x:c r="H20" s="2" t="str">
        <x:v>Defensa</x:v>
      </x:c>
      <x:c r="I20" s="2" t="str">
        <x:v>30 noviembre-12 diciembre</x:v>
      </x:c>
      <x:c r="J20" s="2" t="str">
        <x:v>Fecha concreta por confirmar</x:v>
      </x:c>
    </x:row>
    <x:row r="21" ht="42" customHeight="1">
      <x:c r="A21" s="2" t="n">
        <x:v>15</x:v>
      </x:c>
      <x:c r="B21" s="28" t="d">
        <x:v>2026-11-16T00:00:00.000Z</x:v>
      </x:c>
      <x:c r="C21" s="28" t="d">
        <x:v>2026-11-21T00:00:00.000Z</x:v>
      </x:c>
      <x:c r="D21" s="2" t="str">
        <x:v>Fase 2</x:v>
      </x:c>
      <x:c r="E21" s="10" t="str">
        <x:v>Entrega final Fase 2 y presentación de resultados</x:v>
      </x:c>
      <x:c r="F21" s="2" t="str">
        <x:v>Sí</x:v>
      </x:c>
      <x:c r="G21" s="2"/>
      <x:c r="H21" s="2"/>
      <x:c r="I21" s="2"/>
      <x:c r="J21" s="2"/>
    </x:row>
    <x:row r="22" ht="42" customHeight="1">
      <x:c r="A22" s="2" t="n">
        <x:v>16</x:v>
      </x:c>
      <x:c r="B22" s="28" t="d">
        <x:v>2026-11-23T00:00:00.000Z</x:v>
      </x:c>
      <x:c r="C22" s="28" t="d">
        <x:v>2026-11-28T00:00:00.000Z</x:v>
      </x:c>
      <x:c r="D22" s="2" t="str">
        <x:v>Fase 3</x:v>
      </x:c>
      <x:c r="E22" s="10" t="str">
        <x:v>Retroalimentación y preparación de Fase 3</x:v>
      </x:c>
      <x:c r="F22" s="2" t="str">
        <x:v>No</x:v>
      </x:c>
      <x:c r="G22" s="2"/>
      <x:c r="H22" s="2"/>
      <x:c r="I22" s="2"/>
      <x:c r="J22" s="2"/>
    </x:row>
    <x:row r="23" ht="42" customHeight="1">
      <x:c r="A23" s="2" t="n">
        <x:v>17</x:v>
      </x:c>
      <x:c r="B23" s="28" t="d">
        <x:v>2026-11-30T00:00:00.000Z</x:v>
      </x:c>
      <x:c r="C23" s="28" t="d">
        <x:v>2026-12-05T00:00:00.000Z</x:v>
      </x:c>
      <x:c r="D23" s="2" t="str">
        <x:v>Fase 3</x:v>
      </x:c>
      <x:c r="E23" s="10" t="str">
        <x:v>Presentación final de proyecto</x:v>
      </x:c>
      <x:c r="F23" s="2" t="str">
        <x:v>Sí</x:v>
      </x:c>
      <x:c r="G23" s="2"/>
      <x:c r="H23" s="2"/>
      <x:c r="I23" s="2"/>
      <x:c r="J23" s="2"/>
    </x:row>
    <x:row r="24" ht="42" customHeight="1">
      <x:c r="A24" s="2" t="n">
        <x:v>18</x:v>
      </x:c>
      <x:c r="B24" s="28" t="d">
        <x:v>2026-12-07T00:00:00.000Z</x:v>
      </x:c>
      <x:c r="C24" s="28" t="d">
        <x:v>2026-12-12T00:00:00.000Z</x:v>
      </x:c>
      <x:c r="D24" s="2" t="str">
        <x:v>Fase 3</x:v>
      </x:c>
      <x:c r="E24" s="10" t="str">
        <x:v>Presentación final de proyecto</x:v>
      </x:c>
      <x:c r="F24" s="2" t="str">
        <x:v>Sí</x:v>
      </x:c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15" t="str">
        <x:v>Uso y límites del calendario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Semana de corte: 10 (12-17 octubre). El avance académico requiere entrega en Campus, no solo publicación en Git.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Jira contiene ocho sprints únicos, del 0 al 7. Los sprints 5, 6 y 7 están planificados sin iniciar.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H no acredita fechas reales de ejecución. R y P son ventanas para el trabajo restante: revisión, corrección o desarrollo según Actividades.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 t="str">
        <x:v>S1 aparece activo con fechas de octubre, diferentes de su ventana documental. S3 y S4 siguen activos; no se cerró ningún sprint.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 t="str">
        <x:v>El calendario no introduce horas, porcentajes de desarrollo ni reuniones históricas supuestas. Las duraciones son días calendario.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 t="str">
        <x:v>Fuente Jira: https://sigaa-duoc-2026.atlassian.net/jira/software/projects/SCRUM/boards/1/backlog</x:v>
      </x:c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2" t="str">
        <x:v>Fuente de cierre: Cronograma de actividades para finalizar SIGAA, elaborado el 15-10-2026. Plan registrado en Jira por solicitud del PO.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pageMargins left="0.7" right="0.7" top="0.75" bottom="0.75" header="0.3" footer="0.3"/>
</x:worksheet>
</file>